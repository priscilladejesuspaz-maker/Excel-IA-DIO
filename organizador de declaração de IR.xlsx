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ook\Documents\Análise de Dados - EBAC\Excel - Dio\"/>
    </mc:Choice>
  </mc:AlternateContent>
  <xr:revisionPtr revIDLastSave="0" documentId="13_ncr:1_{7E3F915C-44F0-4617-8AD6-85C266628638}" xr6:coauthVersionLast="47" xr6:coauthVersionMax="47" xr10:uidLastSave="{00000000-0000-0000-0000-000000000000}"/>
  <bookViews>
    <workbookView xWindow="-108" yWindow="-108" windowWidth="23256" windowHeight="12456" tabRatio="475" activeTab="3" xr2:uid="{BBB328D4-3F1E-4B39-A7EC-97C52EA5CC3F}"/>
  </bookViews>
  <sheets>
    <sheet name="Titular" sheetId="1" r:id="rId1"/>
    <sheet name="Informes" sheetId="2" r:id="rId2"/>
    <sheet name="Notas" sheetId="3" r:id="rId3"/>
    <sheet name="Resumo" sheetId="9" r:id="rId4"/>
    <sheet name="Tabela" sheetId="8" r:id="rId5"/>
    <sheet name="Tabelas" sheetId="7" state="hidden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9" l="1"/>
  <c r="H5" i="9"/>
  <c r="H6" i="9"/>
  <c r="H7" i="9"/>
  <c r="I5" i="9"/>
  <c r="I6" i="9"/>
  <c r="I7" i="9"/>
  <c r="I4" i="9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C7" i="2"/>
</calcChain>
</file>

<file path=xl/sharedStrings.xml><?xml version="1.0" encoding="utf-8"?>
<sst xmlns="http://schemas.openxmlformats.org/spreadsheetml/2006/main" count="169" uniqueCount="126">
  <si>
    <t>CPF</t>
  </si>
  <si>
    <t>NOME</t>
  </si>
  <si>
    <t>DATA DE 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</si>
  <si>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</si>
  <si>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</si>
  <si>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</si>
  <si>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</si>
  <si>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</si>
  <si>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</si>
  <si>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</si>
  <si>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</si>
  <si>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 xml:space="preserve">HOUVE ALTERAÇÃO NA ENTREGA ANTERIOR </t>
  </si>
  <si>
    <t>DEPENDENTE - CÔNJUGE</t>
  </si>
  <si>
    <t xml:space="preserve">RESIDENTE EXTERIOR </t>
  </si>
  <si>
    <t xml:space="preserve">1. DADOS DO TÍTULAR </t>
  </si>
  <si>
    <t>Preencha os campos com os dados de uma pessoa física abaixo</t>
  </si>
  <si>
    <t>Sérgio Marcelo Tomás Melo</t>
  </si>
  <si>
    <t>Agatha Fernanda Jaqueline Souza</t>
  </si>
  <si>
    <t>88103-210</t>
  </si>
  <si>
    <t>(48) 2537-8937</t>
  </si>
  <si>
    <t>(48) 98231-0660</t>
  </si>
  <si>
    <t>sergiomelo@graficajardim.com.br</t>
  </si>
  <si>
    <t>NÃO</t>
  </si>
  <si>
    <t>SIM</t>
  </si>
  <si>
    <t>Rua Ana Georgina da Rosa, Nº100</t>
  </si>
  <si>
    <t>R. Ana da Rosa, 100</t>
  </si>
  <si>
    <t xml:space="preserve">1. INFORMES DE RENDIMENTOS BANCÁRIOS </t>
  </si>
  <si>
    <t xml:space="preserve">Preencha com os seus dados de cada banco </t>
  </si>
  <si>
    <t xml:space="preserve">BANCO </t>
  </si>
  <si>
    <t>VALOR ATUAL</t>
  </si>
  <si>
    <t>ANEXO 📎</t>
  </si>
  <si>
    <t xml:space="preserve">ITAÚ 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</si>
  <si>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</si>
  <si>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</si>
  <si>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</si>
  <si>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</si>
  <si>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</si>
  <si>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</si>
  <si>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</si>
  <si>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</si>
  <si>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</si>
  <si>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</si>
  <si>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</si>
  <si>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</si>
  <si>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</si>
  <si>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</si>
  <si>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</si>
  <si>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</si>
  <si>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</si>
  <si>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</si>
  <si>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</si>
  <si>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</si>
  <si>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</si>
  <si>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</si>
  <si>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</si>
  <si>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</si>
  <si>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</si>
  <si>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</si>
  <si>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</si>
  <si>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</si>
  <si>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</si>
  <si>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</si>
  <si>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</si>
  <si>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</si>
  <si>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</si>
  <si>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</si>
  <si>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</si>
  <si>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</si>
  <si>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</si>
  <si>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</si>
  <si>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</si>
  <si>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</si>
  <si>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</si>
  <si>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</si>
  <si>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</si>
  <si>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</si>
  <si>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</si>
  <si>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</si>
  <si>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</si>
  <si>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</si>
  <si>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</si>
  <si>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</si>
  <si>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</si>
  <si>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</si>
  <si>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</si>
  <si>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</si>
  <si>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</si>
  <si>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3. NOTAS BANCÁRIAS E OU EXTRATO DE HOLERITES</t>
  </si>
  <si>
    <t xml:space="preserve"> São todos os valores de entrada mês a mês de receita </t>
  </si>
  <si>
    <t xml:space="preserve">ENTRADAS </t>
  </si>
  <si>
    <t xml:space="preserve">DATA </t>
  </si>
  <si>
    <t xml:space="preserve">CATEGORIA </t>
  </si>
  <si>
    <t xml:space="preserve">VALOR </t>
  </si>
  <si>
    <t>Holerites</t>
  </si>
  <si>
    <t xml:space="preserve">ANO - CALENDÁRIO </t>
  </si>
  <si>
    <t xml:space="preserve">SITUAÇÃO </t>
  </si>
  <si>
    <t>TIPO DE RENDIMENTO</t>
  </si>
  <si>
    <t xml:space="preserve">DOCUMENTRE ENTREGUE </t>
  </si>
  <si>
    <t>TIPO</t>
  </si>
  <si>
    <t xml:space="preserve">TOTAL </t>
  </si>
  <si>
    <t>MÊS</t>
  </si>
  <si>
    <t>Rótulos de Linha</t>
  </si>
  <si>
    <t>Total Geral</t>
  </si>
  <si>
    <t>Rótulos de Coluna</t>
  </si>
  <si>
    <t>TRIBUTÁVEL</t>
  </si>
  <si>
    <t xml:space="preserve">Soma de VALOR </t>
  </si>
  <si>
    <t>Freelance</t>
  </si>
  <si>
    <t>EXCLUSIVO NA FONTE</t>
  </si>
  <si>
    <t>ISENTO</t>
  </si>
  <si>
    <t>CNPJ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</si>
  <si>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</si>
  <si>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</si>
  <si>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</si>
  <si>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</si>
  <si>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</si>
  <si>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</si>
  <si>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</si>
  <si>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</si>
  <si>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</si>
  <si>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</si>
  <si>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</si>
  <si>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RESUMO DO ANO 2026</t>
  </si>
  <si>
    <t>Total Recebido no Ano:        44.829</t>
  </si>
  <si>
    <t>Rendimentos Tributáveis:     26.229</t>
  </si>
  <si>
    <t>Rendimentos Isentos:          6.100</t>
  </si>
  <si>
    <t>Rendimentos Exclusivos:      12.500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</si>
</sst>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"/>
    <numFmt numFmtId="165" formatCode="&quot;(&quot;00&quot;)&quot;0000&quot;-&quot;0000"/>
    <numFmt numFmtId="166" formatCode="&quot;(&quot;00&quot;)&quot;00000&quot;-&quot;0000"/>
    <numFmt numFmtId="167" formatCode="&quot;R$&quot;\ #,##0.00"/>
    <numFmt numFmtId="168" formatCode="000&quot;.&quot;000&quot;.&quot;000&quot;-&quot;00"/>
  </numFmts>
  <fonts count="12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i/>
      <sz val="9"/>
      <color theme="0"/>
      <name val="Aptos Narrow"/>
      <family val="2"/>
      <scheme val="minor"/>
    </font>
    <font>
      <sz val="11"/>
      <color theme="6" tint="-0.49998474074526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9"/>
      <color theme="0" tint="-0.499984740745262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/>
      <bottom style="thick">
        <color theme="0"/>
      </bottom>
      <diagonal/>
    </border>
    <border>
      <left/>
      <right/>
      <top style="thick">
        <color rgb="FFFFC000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52">
    <xf numFmtId="0" fontId="0" fillId="0" borderId="0" xfId="0"/>
    <xf numFmtId="0" fontId="0" fillId="3" borderId="0" xfId="0" applyFill="1"/>
    <xf numFmtId="0" fontId="0" fillId="0" borderId="7" xfId="0" applyBorder="1"/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/>
    <xf numFmtId="167" fontId="0" fillId="0" borderId="0" xfId="0" applyNumberFormat="1"/>
    <xf numFmtId="0" fontId="0" fillId="0" borderId="0" xfId="0" applyProtection="1">
      <protection locked="0"/>
    </xf>
    <xf numFmtId="0" fontId="9" fillId="0" borderId="0" xfId="0" applyFont="1" applyBorder="1" applyProtection="1">
      <protection locked="0"/>
    </xf>
    <xf numFmtId="0" fontId="5" fillId="0" borderId="0" xfId="0" applyFont="1" applyBorder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67" fontId="0" fillId="0" borderId="0" xfId="0" applyNumberFormat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7" fillId="2" borderId="2" xfId="1" applyFont="1" applyBorder="1" applyAlignment="1" applyProtection="1">
      <alignment horizontal="right"/>
      <protection locked="0"/>
    </xf>
    <xf numFmtId="0" fontId="4" fillId="0" borderId="3" xfId="0" applyFont="1" applyBorder="1" applyAlignment="1" applyProtection="1">
      <alignment horizontal="right"/>
      <protection locked="0"/>
    </xf>
    <xf numFmtId="14" fontId="7" fillId="2" borderId="4" xfId="1" applyNumberFormat="1" applyFont="1" applyBorder="1" applyAlignment="1" applyProtection="1">
      <alignment horizontal="right"/>
      <protection locked="0"/>
    </xf>
    <xf numFmtId="1" fontId="7" fillId="2" borderId="4" xfId="1" applyNumberFormat="1" applyFont="1" applyBorder="1" applyAlignment="1" applyProtection="1">
      <alignment horizontal="right"/>
      <protection locked="0"/>
    </xf>
    <xf numFmtId="0" fontId="7" fillId="2" borderId="4" xfId="1" applyFont="1" applyBorder="1" applyAlignment="1" applyProtection="1">
      <alignment horizontal="right"/>
      <protection locked="0"/>
    </xf>
    <xf numFmtId="164" fontId="7" fillId="2" borderId="4" xfId="1" applyNumberFormat="1" applyFont="1" applyBorder="1" applyAlignment="1" applyProtection="1">
      <alignment horizontal="right"/>
      <protection locked="0"/>
    </xf>
    <xf numFmtId="165" fontId="7" fillId="2" borderId="4" xfId="1" applyNumberFormat="1" applyFont="1" applyBorder="1" applyAlignment="1" applyProtection="1">
      <alignment horizontal="right"/>
      <protection locked="0"/>
    </xf>
    <xf numFmtId="166" fontId="7" fillId="2" borderId="4" xfId="1" applyNumberFormat="1" applyFont="1" applyBorder="1" applyAlignment="1" applyProtection="1">
      <alignment horizontal="right"/>
      <protection locked="0"/>
    </xf>
    <xf numFmtId="0" fontId="8" fillId="2" borderId="4" xfId="2" applyFill="1" applyBorder="1" applyAlignment="1" applyProtection="1">
      <alignment horizontal="right"/>
      <protection locked="0"/>
    </xf>
    <xf numFmtId="0" fontId="4" fillId="0" borderId="5" xfId="0" applyFont="1" applyBorder="1" applyAlignment="1" applyProtection="1">
      <alignment horizontal="right"/>
      <protection locked="0"/>
    </xf>
    <xf numFmtId="0" fontId="7" fillId="2" borderId="6" xfId="1" applyFont="1" applyBorder="1" applyAlignment="1" applyProtection="1">
      <alignment horizontal="right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10" fillId="0" borderId="0" xfId="0" applyFont="1" applyProtection="1">
      <protection locked="0"/>
    </xf>
    <xf numFmtId="167" fontId="7" fillId="2" borderId="4" xfId="1" applyNumberFormat="1" applyFont="1" applyBorder="1" applyAlignment="1" applyProtection="1">
      <alignment horizontal="right"/>
      <protection locked="0"/>
    </xf>
    <xf numFmtId="14" fontId="0" fillId="0" borderId="0" xfId="0" applyNumberFormat="1" applyProtection="1">
      <protection locked="0"/>
    </xf>
    <xf numFmtId="0" fontId="7" fillId="2" borderId="4" xfId="1" applyNumberFormat="1" applyFont="1" applyBorder="1" applyAlignment="1" applyProtection="1">
      <alignment horizontal="right"/>
      <protection locked="0"/>
    </xf>
    <xf numFmtId="168" fontId="7" fillId="2" borderId="4" xfId="1" applyNumberFormat="1" applyFont="1" applyBorder="1" applyAlignment="1" applyProtection="1">
      <alignment horizontal="right"/>
      <protection locked="0"/>
    </xf>
    <xf numFmtId="14" fontId="9" fillId="0" borderId="0" xfId="0" applyNumberFormat="1" applyFont="1" applyBorder="1" applyProtection="1"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7" fontId="0" fillId="0" borderId="0" xfId="0" applyNumberFormat="1" applyProtection="1">
      <protection locked="0"/>
    </xf>
    <xf numFmtId="167" fontId="0" fillId="0" borderId="0" xfId="0" applyNumberFormat="1" applyBorder="1" applyProtection="1">
      <protection locked="0"/>
    </xf>
    <xf numFmtId="167" fontId="0" fillId="0" borderId="0" xfId="0" applyNumberFormat="1" applyAlignment="1" applyProtection="1">
      <alignment horizontal="center" vertical="center"/>
      <protection locked="0"/>
    </xf>
    <xf numFmtId="0" fontId="0" fillId="0" borderId="9" xfId="0" pivotButton="1" applyBorder="1"/>
    <xf numFmtId="0" fontId="0" fillId="0" borderId="9" xfId="0" applyBorder="1"/>
    <xf numFmtId="0" fontId="0" fillId="0" borderId="9" xfId="0" applyBorder="1" applyAlignment="1">
      <alignment horizontal="left"/>
    </xf>
    <xf numFmtId="167" fontId="0" fillId="0" borderId="9" xfId="0" applyNumberFormat="1" applyBorder="1"/>
    <xf numFmtId="0" fontId="6" fillId="4" borderId="8" xfId="0" applyFont="1" applyFill="1" applyBorder="1" applyAlignment="1" applyProtection="1">
      <alignment horizontal="left" vertical="center"/>
      <protection locked="0"/>
    </xf>
    <xf numFmtId="167" fontId="1" fillId="2" borderId="0" xfId="1" applyNumberFormat="1" applyAlignment="1" applyProtection="1">
      <alignment horizontal="left" vertical="center"/>
      <protection locked="0"/>
    </xf>
    <xf numFmtId="0" fontId="1" fillId="2" borderId="0" xfId="1" applyAlignment="1" applyProtection="1">
      <alignment horizontal="left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11" fillId="4" borderId="10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3" fillId="0" borderId="0" xfId="0" applyFont="1"/>
  </cellXfs>
  <cellStyles count="3">
    <cellStyle name="Hiperlink" xfId="2" builtinId="8"/>
    <cellStyle name="Neutro" xfId="1" builtinId="28"/>
    <cellStyle name="Normal" xfId="0" builtinId="0"/>
  </cellStyles>
  <dxfs count="18">
    <dxf>
      <numFmt numFmtId="167" formatCode="&quot;R$&quot;\ #,##0.00"/>
    </dxf>
    <dxf>
      <numFmt numFmtId="167" formatCode="&quot;R$&quot;\ #,##0.00"/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 style="thin">
          <color theme="6" tint="-0.499984740745262"/>
        </vertical>
        <horizontal style="thin">
          <color theme="6" tint="-0.499984740745262"/>
        </horizontal>
      </border>
    </dxf>
    <dxf>
      <numFmt numFmtId="167" formatCode="&quot;R$&quot;\ #,##0.00"/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numFmt numFmtId="19" formatCode="dd/mm/yyyy"/>
      <alignment horizontal="center" vertical="bottom" textRotation="0" wrapText="0" indent="0" justifyLastLine="0" shrinkToFit="0" readingOrder="0"/>
      <protection locked="0" hidden="0"/>
    </dxf>
    <dxf>
      <numFmt numFmtId="19" formatCode="dd/mm/yyyy"/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[organizador de declaração de IR.xlsx]Tabela!Tabela dinâmica1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cap="all" baseline="0"/>
              <a:t>Distribuição dos Rendimentos por Mês</a:t>
            </a:r>
            <a:endParaRPr lang="pt-BR" sz="1400">
              <a:solidFill>
                <a:schemeClr val="accent6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22026967285587976"/>
          <c:y val="2.9325513196480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926556594218826E-2"/>
              <c:y val="-0.10391112443124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8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0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1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2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3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4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7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8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9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1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2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3"/>
        <c:spPr>
          <a:solidFill>
            <a:schemeClr val="accent3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4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5"/>
        <c:spPr>
          <a:solidFill>
            <a:schemeClr val="accent5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2.8926556594218826E-2"/>
              <c:y val="-0.103911124431245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3.0474303278403198E-2"/>
              <c:y val="-8.379284334326243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5.9055988359545265E-2"/>
              <c:y val="-0.1003902371441106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spc="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8922045572328936"/>
          <c:y val="0.34579052237372765"/>
          <c:w val="0.28458569470217498"/>
          <c:h val="0.54487748863709107"/>
        </c:manualLayout>
      </c:layout>
      <c:pieChart>
        <c:varyColors val="1"/>
        <c:ser>
          <c:idx val="0"/>
          <c:order val="0"/>
          <c:tx>
            <c:strRef>
              <c:f>Tabela!$B$3:$B$4</c:f>
              <c:strCache>
                <c:ptCount val="1"/>
                <c:pt idx="0">
                  <c:v>TRIBUTÁVEL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4B2-4E1F-9673-9750191F9F95}"/>
                </c:ext>
              </c:extLst>
            </c:dLbl>
            <c:dLbl>
              <c:idx val="1"/>
              <c:layout>
                <c:manualLayout>
                  <c:x val="3.0474303278403198E-2"/>
                  <c:y val="-8.37928433432624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D4B2-4E1F-9673-9750191F9F95}"/>
                </c:ext>
              </c:extLst>
            </c:dLbl>
            <c:dLbl>
              <c:idx val="4"/>
              <c:layout>
                <c:manualLayout>
                  <c:x val="-5.9055988359545265E-2"/>
                  <c:y val="-0.1003902371441106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spc="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Tabela!$B$5:$B$16</c:f>
              <c:numCache>
                <c:formatCode>"R$"\ #,##0.00</c:formatCode>
                <c:ptCount val="11"/>
                <c:pt idx="0">
                  <c:v>3000</c:v>
                </c:pt>
                <c:pt idx="1">
                  <c:v>5000</c:v>
                </c:pt>
                <c:pt idx="2">
                  <c:v>1095</c:v>
                </c:pt>
                <c:pt idx="3">
                  <c:v>2500</c:v>
                </c:pt>
                <c:pt idx="4">
                  <c:v>11500</c:v>
                </c:pt>
                <c:pt idx="5">
                  <c:v>1774</c:v>
                </c:pt>
                <c:pt idx="7">
                  <c:v>800</c:v>
                </c:pt>
                <c:pt idx="8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B2-4E1F-9673-9750191F9F95}"/>
            </c:ext>
          </c:extLst>
        </c:ser>
        <c:ser>
          <c:idx val="1"/>
          <c:order val="1"/>
          <c:tx>
            <c:strRef>
              <c:f>Tabela!$C$3:$C$4</c:f>
              <c:strCache>
                <c:ptCount val="1"/>
                <c:pt idx="0">
                  <c:v>EXCLUSIVO NA FONTE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D4B2-4E1F-9673-9750191F9F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D4B2-4E1F-9673-9750191F9F9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A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C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Tabela!$C$5:$C$16</c:f>
              <c:numCache>
                <c:formatCode>"R$"\ #,##0.00</c:formatCode>
                <c:ptCount val="11"/>
                <c:pt idx="1">
                  <c:v>5000</c:v>
                </c:pt>
                <c:pt idx="3">
                  <c:v>7000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4B2-4E1F-9673-9750191F9F95}"/>
            </c:ext>
          </c:extLst>
        </c:ser>
        <c:ser>
          <c:idx val="2"/>
          <c:order val="2"/>
          <c:tx>
            <c:strRef>
              <c:f>Tabela!$D$3:$D$4</c:f>
              <c:strCache>
                <c:ptCount val="1"/>
                <c:pt idx="0">
                  <c:v>ISENTO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D4B2-4E1F-9673-9750191F9F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D4B2-4E1F-9673-9750191F9F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D4B2-4E1F-9673-9750191F9F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D4B2-4E1F-9673-9750191F9F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D4B2-4E1F-9673-9750191F9F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D4B2-4E1F-9673-9750191F9F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D4B2-4E1F-9673-9750191F9F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D4B2-4E1F-9673-9750191F9F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D4B2-4E1F-9673-9750191F9F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D4B2-4E1F-9673-9750191F9F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D4B2-4E1F-9673-9750191F9F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D4B2-4E1F-9673-9750191F9F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1-D4B2-4E1F-9673-9750191F9F9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3-D4B2-4E1F-9673-9750191F9F9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5-D4B2-4E1F-9673-9750191F9F9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7-D4B2-4E1F-9673-9750191F9F95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9-D4B2-4E1F-9673-9750191F9F95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B-D4B2-4E1F-9673-9750191F9F95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D-D4B2-4E1F-9673-9750191F9F95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F-D4B2-4E1F-9673-9750191F9F95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1-D4B2-4E1F-9673-9750191F9F9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43-D4B2-4E1F-9673-9750191F9F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Tabela!$D$5:$D$16</c:f>
              <c:numCache>
                <c:formatCode>"R$"\ #,##0.00</c:formatCode>
                <c:ptCount val="11"/>
                <c:pt idx="1">
                  <c:v>4500</c:v>
                </c:pt>
                <c:pt idx="9">
                  <c:v>900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4B2-4E1F-9673-9750191F9F9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[organizador de declaração de IR.xlsx]Tabela!Tabela dinâmica1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0" normalizeH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spc="0" baseline="0">
                <a:solidFill>
                  <a:schemeClr val="accent6">
                    <a:lumMod val="50000"/>
                  </a:schemeClr>
                </a:solidFill>
              </a:rPr>
              <a:t>Distribuição dos Rendimentos por Mês</a:t>
            </a:r>
          </a:p>
        </c:rich>
      </c:tx>
      <c:layout>
        <c:manualLayout>
          <c:xMode val="edge"/>
          <c:yMode val="edge"/>
          <c:x val="0.27653291444630029"/>
          <c:y val="2.4157536608192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0" normalizeH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triangle"/>
          <c:size val="6"/>
          <c:spPr>
            <a:solidFill>
              <a:schemeClr val="accent3"/>
            </a:solidFill>
            <a:ln w="9525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accent6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1913491874121786E-2"/>
          <c:y val="0.26416689535791943"/>
          <c:w val="0.78167872955274531"/>
          <c:h val="0.656590178238444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Tabela!$B$3:$B$4</c:f>
              <c:strCache>
                <c:ptCount val="1"/>
                <c:pt idx="0">
                  <c:v>TRIBUTÁVEL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Tabela!$B$5:$B$16</c:f>
              <c:numCache>
                <c:formatCode>"R$"\ #,##0.00</c:formatCode>
                <c:ptCount val="11"/>
                <c:pt idx="0">
                  <c:v>3000</c:v>
                </c:pt>
                <c:pt idx="1">
                  <c:v>5000</c:v>
                </c:pt>
                <c:pt idx="2">
                  <c:v>1095</c:v>
                </c:pt>
                <c:pt idx="3">
                  <c:v>2500</c:v>
                </c:pt>
                <c:pt idx="4">
                  <c:v>11500</c:v>
                </c:pt>
                <c:pt idx="5">
                  <c:v>1774</c:v>
                </c:pt>
                <c:pt idx="7">
                  <c:v>800</c:v>
                </c:pt>
                <c:pt idx="8">
                  <c:v>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6-40C7-9975-14A513C5234A}"/>
            </c:ext>
          </c:extLst>
        </c:ser>
        <c:ser>
          <c:idx val="1"/>
          <c:order val="1"/>
          <c:tx>
            <c:strRef>
              <c:f>Tabela!$C$3:$C$4</c:f>
              <c:strCache>
                <c:ptCount val="1"/>
                <c:pt idx="0">
                  <c:v>EXCLUSIVO NA FONTE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Tabela!$C$5:$C$16</c:f>
              <c:numCache>
                <c:formatCode>"R$"\ #,##0.00</c:formatCode>
                <c:ptCount val="11"/>
                <c:pt idx="1">
                  <c:v>5000</c:v>
                </c:pt>
                <c:pt idx="3">
                  <c:v>7000</c:v>
                </c:pt>
                <c:pt idx="6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6-40C7-9975-14A513C5234A}"/>
            </c:ext>
          </c:extLst>
        </c:ser>
        <c:ser>
          <c:idx val="2"/>
          <c:order val="2"/>
          <c:tx>
            <c:strRef>
              <c:f>Tabela!$D$3:$D$4</c:f>
              <c:strCache>
                <c:ptCount val="1"/>
                <c:pt idx="0">
                  <c:v>ISENTO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Tabela!$A$5:$A$16</c:f>
              <c:strCache>
                <c:ptCount val="11"/>
                <c:pt idx="0">
                  <c:v>fev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Tabela!$D$5:$D$16</c:f>
              <c:numCache>
                <c:formatCode>"R$"\ #,##0.00</c:formatCode>
                <c:ptCount val="11"/>
                <c:pt idx="1">
                  <c:v>4500</c:v>
                </c:pt>
                <c:pt idx="9">
                  <c:v>900</c:v>
                </c:pt>
                <c:pt idx="1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6-40C7-9975-14A513C523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37172367"/>
        <c:axId val="137165167"/>
      </c:barChart>
      <c:catAx>
        <c:axId val="1371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7165167"/>
        <c:crosses val="autoZero"/>
        <c:auto val="1"/>
        <c:lblAlgn val="ctr"/>
        <c:lblOffset val="100"/>
        <c:noMultiLvlLbl val="0"/>
      </c:catAx>
      <c:valAx>
        <c:axId val="137165167"/>
        <c:scaling>
          <c:orientation val="minMax"/>
        </c:scaling>
        <c:delete val="1"/>
        <c:axPos val="l"/>
        <c:numFmt formatCode="&quot;R$&quot;\ #,##0.00" sourceLinked="1"/>
        <c:majorTickMark val="none"/>
        <c:minorTickMark val="none"/>
        <c:tickLblPos val="nextTo"/>
        <c:crossAx val="13717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hyperlink" Target="#Resumo!C1"/><Relationship Id="rId4" Type="http://schemas.openxmlformats.org/officeDocument/2006/relationships/hyperlink" Target="#Notas!C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121920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6E1195BF-BF6D-58BB-3671-F28838A07804}"/>
            </a:ext>
          </a:extLst>
        </xdr:cNvPr>
        <xdr:cNvSpPr>
          <a:spLocks noChangeAspect="1" noChangeArrowheads="1"/>
        </xdr:cNvSpPr>
      </xdr:nvSpPr>
      <xdr:spPr bwMode="auto">
        <a:xfrm>
          <a:off x="249174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304800</xdr:colOff>
      <xdr:row>12</xdr:row>
      <xdr:rowOff>121920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287FCF75-7F86-C337-7DA4-BCDD7C6A6ACE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15240</xdr:colOff>
      <xdr:row>11</xdr:row>
      <xdr:rowOff>22860</xdr:rowOff>
    </xdr:from>
    <xdr:to>
      <xdr:col>4</xdr:col>
      <xdr:colOff>320040</xdr:colOff>
      <xdr:row>12</xdr:row>
      <xdr:rowOff>144780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40380912-141F-22BF-0B4F-C913E0001800}"/>
            </a:ext>
          </a:extLst>
        </xdr:cNvPr>
        <xdr:cNvSpPr>
          <a:spLocks noChangeAspect="1" noChangeArrowheads="1"/>
        </xdr:cNvSpPr>
      </xdr:nvSpPr>
      <xdr:spPr bwMode="auto">
        <a:xfrm>
          <a:off x="5311140" y="18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144780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D327CF4-6135-BEFB-5EBF-A9D9C0F5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84197</xdr:rowOff>
    </xdr:from>
    <xdr:to>
      <xdr:col>0</xdr:col>
      <xdr:colOff>2129790</xdr:colOff>
      <xdr:row>14</xdr:row>
      <xdr:rowOff>132309</xdr:rowOff>
    </xdr:to>
    <xdr:sp macro="" textlink="">
      <xdr:nvSpPr>
        <xdr:cNvPr id="7" name="Retângulo: Cantos Arredondados 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CE8112C-3A1B-F360-92DB-59EB9740B113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122297</xdr:rowOff>
    </xdr:from>
    <xdr:to>
      <xdr:col>0</xdr:col>
      <xdr:colOff>2129790</xdr:colOff>
      <xdr:row>17</xdr:row>
      <xdr:rowOff>162789</xdr:rowOff>
    </xdr:to>
    <xdr:sp macro="" textlink="">
      <xdr:nvSpPr>
        <xdr:cNvPr id="8" name="Retângulo: Cantos Arredondados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09480D5-DBD9-4FDF-B2B7-43E544B020DD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137537</xdr:rowOff>
    </xdr:from>
    <xdr:to>
      <xdr:col>0</xdr:col>
      <xdr:colOff>2129790</xdr:colOff>
      <xdr:row>21</xdr:row>
      <xdr:rowOff>2769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280A0C-7E38-4519-B8AE-674B3599ACCF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175260</xdr:rowOff>
    </xdr:from>
    <xdr:to>
      <xdr:col>0</xdr:col>
      <xdr:colOff>2204720</xdr:colOff>
      <xdr:row>26</xdr:row>
      <xdr:rowOff>77653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33D21F8B-BBF1-4F59-A558-DE86A5FA4C72}"/>
            </a:ext>
          </a:extLst>
        </xdr:cNvPr>
        <xdr:cNvGrpSpPr/>
      </xdr:nvGrpSpPr>
      <xdr:grpSpPr>
        <a:xfrm>
          <a:off x="25400" y="4732020"/>
          <a:ext cx="2179320" cy="268153"/>
          <a:chOff x="1" y="4617720"/>
          <a:chExt cx="2179320" cy="268153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5461C9DB-CA1D-D826-8FF1-8A8294C16919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EFDC651D-3349-574C-DCAC-12971606799B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0</xdr:colOff>
      <xdr:row>21</xdr:row>
      <xdr:rowOff>106680</xdr:rowOff>
    </xdr:from>
    <xdr:to>
      <xdr:col>4</xdr:col>
      <xdr:colOff>7620</xdr:colOff>
      <xdr:row>22</xdr:row>
      <xdr:rowOff>175260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21023C-EBD7-CAA7-0271-CD2878ED1CF7}"/>
            </a:ext>
          </a:extLst>
        </xdr:cNvPr>
        <xdr:cNvSpPr/>
      </xdr:nvSpPr>
      <xdr:spPr>
        <a:xfrm>
          <a:off x="5996940" y="4114800"/>
          <a:ext cx="328422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aseline="0"/>
            <a:t>  </a:t>
          </a:r>
          <a:r>
            <a:rPr lang="pt-BR" sz="1400" b="1" baseline="0"/>
            <a:t>-&gt;</a:t>
          </a:r>
          <a:endParaRPr lang="pt-BR" sz="14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</xdr:row>
      <xdr:rowOff>0</xdr:rowOff>
    </xdr:from>
    <xdr:to>
      <xdr:col>3</xdr:col>
      <xdr:colOff>304800</xdr:colOff>
      <xdr:row>10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AA178D4-752D-443A-B8FC-B0D72C2A1D21}"/>
            </a:ext>
          </a:extLst>
        </xdr:cNvPr>
        <xdr:cNvSpPr>
          <a:spLocks noChangeAspect="1" noChangeArrowheads="1"/>
        </xdr:cNvSpPr>
      </xdr:nvSpPr>
      <xdr:spPr bwMode="auto">
        <a:xfrm>
          <a:off x="34671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121920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31A6D32-317B-48F5-8BC4-B3387160D171}"/>
            </a:ext>
          </a:extLst>
        </xdr:cNvPr>
        <xdr:cNvSpPr>
          <a:spLocks noChangeAspect="1" noChangeArrowheads="1"/>
        </xdr:cNvSpPr>
      </xdr:nvSpPr>
      <xdr:spPr bwMode="auto">
        <a:xfrm>
          <a:off x="28575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304800</xdr:colOff>
      <xdr:row>8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6799E66-E1E2-4702-94AB-3278FC1B2AB1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22860</xdr:colOff>
      <xdr:row>7</xdr:row>
      <xdr:rowOff>7620</xdr:rowOff>
    </xdr:from>
    <xdr:to>
      <xdr:col>4</xdr:col>
      <xdr:colOff>327660</xdr:colOff>
      <xdr:row>8</xdr:row>
      <xdr:rowOff>129540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7D6E5AD0-34CA-4300-9825-C1EC1113C6A2}"/>
            </a:ext>
          </a:extLst>
        </xdr:cNvPr>
        <xdr:cNvSpPr>
          <a:spLocks noChangeAspect="1" noChangeArrowheads="1"/>
        </xdr:cNvSpPr>
      </xdr:nvSpPr>
      <xdr:spPr bwMode="auto">
        <a:xfrm>
          <a:off x="10378440" y="17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7</xdr:row>
      <xdr:rowOff>38100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51FE344B-3298-4B05-BF29-9D352C54CD80}"/>
            </a:ext>
          </a:extLst>
        </xdr:cNvPr>
        <xdr:cNvSpPr>
          <a:spLocks noChangeAspect="1" noChangeArrowheads="1"/>
        </xdr:cNvSpPr>
      </xdr:nvSpPr>
      <xdr:spPr bwMode="auto">
        <a:xfrm>
          <a:off x="46863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53340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44F8CBA-798D-4266-8DF0-78A482F8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61337</xdr:rowOff>
    </xdr:from>
    <xdr:to>
      <xdr:col>0</xdr:col>
      <xdr:colOff>2129790</xdr:colOff>
      <xdr:row>14</xdr:row>
      <xdr:rowOff>109449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81ECD15-0361-44ED-BE92-AF325A08D00A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107057</xdr:rowOff>
    </xdr:from>
    <xdr:to>
      <xdr:col>0</xdr:col>
      <xdr:colOff>2129790</xdr:colOff>
      <xdr:row>17</xdr:row>
      <xdr:rowOff>155169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4681EA-727F-41F8-9C14-28FE8812EB28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129917</xdr:rowOff>
    </xdr:from>
    <xdr:to>
      <xdr:col>0</xdr:col>
      <xdr:colOff>2129790</xdr:colOff>
      <xdr:row>20</xdr:row>
      <xdr:rowOff>178029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288D90-C0D9-4EC5-A049-5AA6572112BB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91440</xdr:rowOff>
    </xdr:from>
    <xdr:to>
      <xdr:col>0</xdr:col>
      <xdr:colOff>2204720</xdr:colOff>
      <xdr:row>25</xdr:row>
      <xdr:rowOff>176713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FF81185F-AD22-2A8A-1CE7-C145A9CBA596}"/>
            </a:ext>
          </a:extLst>
        </xdr:cNvPr>
        <xdr:cNvGrpSpPr/>
      </xdr:nvGrpSpPr>
      <xdr:grpSpPr>
        <a:xfrm>
          <a:off x="25400" y="4724400"/>
          <a:ext cx="2179320" cy="268153"/>
          <a:chOff x="1" y="4617720"/>
          <a:chExt cx="2179320" cy="268153"/>
        </a:xfrm>
      </xdr:grpSpPr>
      <xdr:sp macro="" textlink="">
        <xdr:nvSpPr>
          <xdr:cNvPr id="11" name="Retângulo 10">
            <a:extLst>
              <a:ext uri="{FF2B5EF4-FFF2-40B4-BE49-F238E27FC236}">
                <a16:creationId xmlns:a16="http://schemas.microsoft.com/office/drawing/2014/main" id="{0C190BB7-9457-45E8-BBB8-6BB4B8C05980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2" name="Conector reto 11">
            <a:extLst>
              <a:ext uri="{FF2B5EF4-FFF2-40B4-BE49-F238E27FC236}">
                <a16:creationId xmlns:a16="http://schemas.microsoft.com/office/drawing/2014/main" id="{2BC912D5-6AD0-48EF-A367-1DD2AD662F12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304800</xdr:colOff>
      <xdr:row>15</xdr:row>
      <xdr:rowOff>121920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F0AD1B6E-A90C-4993-8BCF-A679D1402D32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80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3</xdr:col>
      <xdr:colOff>0</xdr:colOff>
      <xdr:row>17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CD87F6C7-F9BD-4073-A480-4D0F44594066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44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367D344D-3C7F-45D8-92B0-04126898C88C}"/>
            </a:ext>
          </a:extLst>
        </xdr:cNvPr>
        <xdr:cNvSpPr>
          <a:spLocks noChangeAspect="1" noChangeArrowheads="1"/>
        </xdr:cNvSpPr>
      </xdr:nvSpPr>
      <xdr:spPr bwMode="auto">
        <a:xfrm>
          <a:off x="5654040" y="198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45720</xdr:colOff>
      <xdr:row>22</xdr:row>
      <xdr:rowOff>144780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4FC3D125-AA71-4E7B-B636-1614DA7AF0A7}"/>
            </a:ext>
          </a:extLst>
        </xdr:cNvPr>
        <xdr:cNvSpPr>
          <a:spLocks noChangeAspect="1" noChangeArrowheads="1"/>
        </xdr:cNvSpPr>
      </xdr:nvSpPr>
      <xdr:spPr bwMode="auto">
        <a:xfrm>
          <a:off x="918210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15240</xdr:colOff>
      <xdr:row>28</xdr:row>
      <xdr:rowOff>129540</xdr:rowOff>
    </xdr:from>
    <xdr:to>
      <xdr:col>4</xdr:col>
      <xdr:colOff>7620</xdr:colOff>
      <xdr:row>30</xdr:row>
      <xdr:rowOff>15240</xdr:rowOff>
    </xdr:to>
    <xdr:sp macro="" textlink="">
      <xdr:nvSpPr>
        <xdr:cNvPr id="21" name="Retângulo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9D9EC9A-AABD-47AF-9573-F9F730E92B67}"/>
            </a:ext>
          </a:extLst>
        </xdr:cNvPr>
        <xdr:cNvSpPr/>
      </xdr:nvSpPr>
      <xdr:spPr>
        <a:xfrm>
          <a:off x="6012180" y="5494020"/>
          <a:ext cx="313182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aseline="0"/>
            <a:t>  </a:t>
          </a:r>
          <a:r>
            <a:rPr lang="pt-BR" sz="1400" b="1" baseline="0"/>
            <a:t>-&gt;</a:t>
          </a:r>
          <a:endParaRPr lang="pt-BR" sz="1400" b="1"/>
        </a:p>
      </xdr:txBody>
    </xdr:sp>
    <xdr:clientData/>
  </xdr:twoCellAnchor>
  <xdr:twoCellAnchor editAs="absolute">
    <xdr:from>
      <xdr:col>1</xdr:col>
      <xdr:colOff>579120</xdr:colOff>
      <xdr:row>28</xdr:row>
      <xdr:rowOff>129540</xdr:rowOff>
    </xdr:from>
    <xdr:to>
      <xdr:col>2</xdr:col>
      <xdr:colOff>3101520</xdr:colOff>
      <xdr:row>30</xdr:row>
      <xdr:rowOff>15240</xdr:rowOff>
    </xdr:to>
    <xdr:sp macro="" textlink="">
      <xdr:nvSpPr>
        <xdr:cNvPr id="22" name="Retângulo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218A81-49E8-486E-88FF-0A428D0E1734}"/>
            </a:ext>
          </a:extLst>
        </xdr:cNvPr>
        <xdr:cNvSpPr/>
      </xdr:nvSpPr>
      <xdr:spPr>
        <a:xfrm>
          <a:off x="2827020" y="5494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&lt;-</a:t>
          </a:r>
          <a:r>
            <a:rPr lang="pt-BR" sz="1400" b="1" baseline="0"/>
            <a:t> </a:t>
          </a:r>
          <a:r>
            <a:rPr lang="pt-BR" sz="1400" b="1"/>
            <a:t>ANTERIOR</a:t>
          </a:r>
        </a:p>
      </xdr:txBody>
    </xdr:sp>
    <xdr:clientData/>
  </xdr:twoCellAnchor>
  <xdr:oneCellAnchor>
    <xdr:from>
      <xdr:col>3</xdr:col>
      <xdr:colOff>0</xdr:colOff>
      <xdr:row>19</xdr:row>
      <xdr:rowOff>0</xdr:rowOff>
    </xdr:from>
    <xdr:ext cx="304800" cy="304800"/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AADC8E60-E3D5-4ED6-BAF9-736CB6156495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38100</xdr:colOff>
      <xdr:row>23</xdr:row>
      <xdr:rowOff>76200</xdr:rowOff>
    </xdr:from>
    <xdr:ext cx="304800" cy="304800"/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7C3E7B43-C901-425E-AA56-20A2214F9671}"/>
            </a:ext>
          </a:extLst>
        </xdr:cNvPr>
        <xdr:cNvSpPr>
          <a:spLocks noChangeAspect="1" noChangeArrowheads="1"/>
        </xdr:cNvSpPr>
      </xdr:nvSpPr>
      <xdr:spPr bwMode="auto">
        <a:xfrm>
          <a:off x="6035040" y="416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7A439CFD-159E-4779-8EE5-8C0A948F2BC8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23</xdr:row>
      <xdr:rowOff>0</xdr:rowOff>
    </xdr:from>
    <xdr:ext cx="304800" cy="304800"/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E8E23E1B-1222-47D9-8EC3-C7609705670A}"/>
            </a:ext>
          </a:extLst>
        </xdr:cNvPr>
        <xdr:cNvSpPr>
          <a:spLocks noChangeAspect="1" noChangeArrowheads="1"/>
        </xdr:cNvSpPr>
      </xdr:nvSpPr>
      <xdr:spPr bwMode="auto">
        <a:xfrm>
          <a:off x="5996940" y="188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4</xdr:col>
      <xdr:colOff>304800</xdr:colOff>
      <xdr:row>10</xdr:row>
      <xdr:rowOff>121920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32C8FD5-92E9-42A7-87CF-BFB6C4D7A77F}"/>
            </a:ext>
          </a:extLst>
        </xdr:cNvPr>
        <xdr:cNvSpPr>
          <a:spLocks noChangeAspect="1" noChangeArrowheads="1"/>
        </xdr:cNvSpPr>
      </xdr:nvSpPr>
      <xdr:spPr bwMode="auto">
        <a:xfrm>
          <a:off x="3467100" y="16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304800</xdr:colOff>
      <xdr:row>3</xdr:row>
      <xdr:rowOff>68580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3F6C73D8-3108-4C26-AB5B-F0B353E88A0A}"/>
            </a:ext>
          </a:extLst>
        </xdr:cNvPr>
        <xdr:cNvSpPr>
          <a:spLocks noChangeAspect="1" noChangeArrowheads="1"/>
        </xdr:cNvSpPr>
      </xdr:nvSpPr>
      <xdr:spPr bwMode="auto">
        <a:xfrm>
          <a:off x="2857500" y="3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121920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29BFF6A-442F-43EE-ABF4-72A64F0EE575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304800</xdr:colOff>
      <xdr:row>11</xdr:row>
      <xdr:rowOff>121920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DD9647C-64FE-4AF9-AEBC-27F2C79454FC}"/>
            </a:ext>
          </a:extLst>
        </xdr:cNvPr>
        <xdr:cNvSpPr>
          <a:spLocks noChangeAspect="1" noChangeArrowheads="1"/>
        </xdr:cNvSpPr>
      </xdr:nvSpPr>
      <xdr:spPr bwMode="auto">
        <a:xfrm>
          <a:off x="5295900" y="18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15240</xdr:colOff>
      <xdr:row>11</xdr:row>
      <xdr:rowOff>83820</xdr:rowOff>
    </xdr:from>
    <xdr:to>
      <xdr:col>7</xdr:col>
      <xdr:colOff>320040</xdr:colOff>
      <xdr:row>13</xdr:row>
      <xdr:rowOff>22860</xdr:rowOff>
    </xdr:to>
    <xdr:sp macro="" textlink="">
      <xdr:nvSpPr>
        <xdr:cNvPr id="6" name="AutoShape 6">
          <a:extLst>
            <a:ext uri="{FF2B5EF4-FFF2-40B4-BE49-F238E27FC236}">
              <a16:creationId xmlns:a16="http://schemas.microsoft.com/office/drawing/2014/main" id="{0E102814-BC07-44B3-A1D6-E1EDF8A01407}"/>
            </a:ext>
          </a:extLst>
        </xdr:cNvPr>
        <xdr:cNvSpPr>
          <a:spLocks noChangeAspect="1" noChangeArrowheads="1"/>
        </xdr:cNvSpPr>
      </xdr:nvSpPr>
      <xdr:spPr bwMode="auto">
        <a:xfrm>
          <a:off x="11262360" y="226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13</xdr:row>
      <xdr:rowOff>129540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20A0CB7-11FA-41C2-B006-BD644563F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47900" cy="267462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</xdr:colOff>
      <xdr:row>12</xdr:row>
      <xdr:rowOff>46097</xdr:rowOff>
    </xdr:from>
    <xdr:to>
      <xdr:col>0</xdr:col>
      <xdr:colOff>2129790</xdr:colOff>
      <xdr:row>14</xdr:row>
      <xdr:rowOff>94209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6A67FE-813F-491F-9B57-435279B8043D}"/>
            </a:ext>
          </a:extLst>
        </xdr:cNvPr>
        <xdr:cNvSpPr>
          <a:spLocks/>
        </xdr:cNvSpPr>
      </xdr:nvSpPr>
      <xdr:spPr>
        <a:xfrm>
          <a:off x="41910" y="234733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41910</xdr:colOff>
      <xdr:row>15</xdr:row>
      <xdr:rowOff>91817</xdr:rowOff>
    </xdr:from>
    <xdr:to>
      <xdr:col>0</xdr:col>
      <xdr:colOff>2129790</xdr:colOff>
      <xdr:row>17</xdr:row>
      <xdr:rowOff>139929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D38DAB2-AC1C-474A-A9DA-19A0F42A23AD}"/>
            </a:ext>
          </a:extLst>
        </xdr:cNvPr>
        <xdr:cNvSpPr>
          <a:spLocks/>
        </xdr:cNvSpPr>
      </xdr:nvSpPr>
      <xdr:spPr>
        <a:xfrm>
          <a:off x="41910" y="2941697"/>
          <a:ext cx="2087880" cy="413872"/>
        </a:xfrm>
        <a:prstGeom prst="roundRect">
          <a:avLst/>
        </a:prstGeom>
        <a:noFill/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41910</xdr:colOff>
      <xdr:row>18</xdr:row>
      <xdr:rowOff>114677</xdr:rowOff>
    </xdr:from>
    <xdr:to>
      <xdr:col>0</xdr:col>
      <xdr:colOff>2129790</xdr:colOff>
      <xdr:row>20</xdr:row>
      <xdr:rowOff>162789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B33045-1126-42A6-BEA4-2FB142A83355}"/>
            </a:ext>
          </a:extLst>
        </xdr:cNvPr>
        <xdr:cNvSpPr>
          <a:spLocks/>
        </xdr:cNvSpPr>
      </xdr:nvSpPr>
      <xdr:spPr>
        <a:xfrm>
          <a:off x="41910" y="3513197"/>
          <a:ext cx="2087880" cy="413872"/>
        </a:xfrm>
        <a:prstGeom prst="round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>
          <a:spAutoFit/>
        </a:bodyPr>
        <a:lstStyle/>
        <a:p>
          <a:pPr algn="ctr"/>
          <a:r>
            <a:rPr lang="pt-BR" sz="1800" b="1"/>
            <a:t>NOTAS</a:t>
          </a:r>
        </a:p>
      </xdr:txBody>
    </xdr:sp>
    <xdr:clientData/>
  </xdr:twoCellAnchor>
  <xdr:twoCellAnchor editAs="absolute">
    <xdr:from>
      <xdr:col>0</xdr:col>
      <xdr:colOff>25400</xdr:colOff>
      <xdr:row>24</xdr:row>
      <xdr:rowOff>15240</xdr:rowOff>
    </xdr:from>
    <xdr:to>
      <xdr:col>0</xdr:col>
      <xdr:colOff>2204720</xdr:colOff>
      <xdr:row>25</xdr:row>
      <xdr:rowOff>100513</xdr:rowOff>
    </xdr:to>
    <xdr:grpSp>
      <xdr:nvGrpSpPr>
        <xdr:cNvPr id="13" name="projeto">
          <a:extLst>
            <a:ext uri="{FF2B5EF4-FFF2-40B4-BE49-F238E27FC236}">
              <a16:creationId xmlns:a16="http://schemas.microsoft.com/office/drawing/2014/main" id="{A0826687-EA2D-4DBC-B7D1-CDF90D4F48CA}"/>
            </a:ext>
          </a:extLst>
        </xdr:cNvPr>
        <xdr:cNvGrpSpPr/>
      </xdr:nvGrpSpPr>
      <xdr:grpSpPr>
        <a:xfrm>
          <a:off x="25400" y="4572000"/>
          <a:ext cx="2179320" cy="268153"/>
          <a:chOff x="1" y="4617720"/>
          <a:chExt cx="2179320" cy="268153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C06C4D49-C655-9D1D-22F5-15754CABE028}"/>
              </a:ext>
            </a:extLst>
          </xdr:cNvPr>
          <xdr:cNvSpPr/>
        </xdr:nvSpPr>
        <xdr:spPr>
          <a:xfrm>
            <a:off x="1" y="4621313"/>
            <a:ext cx="2179320" cy="264560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11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SYSTEM</a:t>
            </a:r>
            <a:r>
              <a:rPr lang="pt-BR" sz="1100" b="0" cap="none" spc="0" baseline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 BY PROJETO</a:t>
            </a:r>
            <a:endParaRPr lang="pt-BR" sz="1100" b="0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  <xdr:cxnSp macro="">
        <xdr:nvCxnSpPr>
          <xdr:cNvPr id="15" name="Conector reto 14">
            <a:extLst>
              <a:ext uri="{FF2B5EF4-FFF2-40B4-BE49-F238E27FC236}">
                <a16:creationId xmlns:a16="http://schemas.microsoft.com/office/drawing/2014/main" id="{8B0C52AD-40E5-7131-32DB-2F53DA0B193B}"/>
              </a:ext>
            </a:extLst>
          </xdr:cNvPr>
          <xdr:cNvCxnSpPr/>
        </xdr:nvCxnSpPr>
        <xdr:spPr>
          <a:xfrm>
            <a:off x="60960" y="4617720"/>
            <a:ext cx="2095500" cy="0"/>
          </a:xfrm>
          <a:prstGeom prst="line">
            <a:avLst/>
          </a:prstGeom>
        </xdr:spPr>
        <xdr:style>
          <a:lnRef idx="3">
            <a:schemeClr val="accent3"/>
          </a:lnRef>
          <a:fillRef idx="0">
            <a:schemeClr val="accent3"/>
          </a:fillRef>
          <a:effectRef idx="2">
            <a:schemeClr val="accent3"/>
          </a:effectRef>
          <a:fontRef idx="minor">
            <a:schemeClr val="tx1"/>
          </a:fontRef>
        </xdr:style>
      </xdr:cxnSp>
    </xdr:grpSp>
    <xdr:clientData/>
  </xdr:twoCellAnchor>
  <xdr:twoCellAnchor editAs="absolute">
    <xdr:from>
      <xdr:col>3</xdr:col>
      <xdr:colOff>2118360</xdr:colOff>
      <xdr:row>24</xdr:row>
      <xdr:rowOff>175260</xdr:rowOff>
    </xdr:from>
    <xdr:to>
      <xdr:col>5</xdr:col>
      <xdr:colOff>1097460</xdr:colOff>
      <xdr:row>26</xdr:row>
      <xdr:rowOff>60960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DCF856-E337-432F-A973-EEA1E48DB5CB}"/>
            </a:ext>
          </a:extLst>
        </xdr:cNvPr>
        <xdr:cNvSpPr/>
      </xdr:nvSpPr>
      <xdr:spPr>
        <a:xfrm>
          <a:off x="7239000" y="4732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&lt;-</a:t>
          </a:r>
          <a:r>
            <a:rPr lang="pt-BR" sz="1400" b="1" baseline="0"/>
            <a:t> </a:t>
          </a:r>
          <a:r>
            <a:rPr lang="pt-BR" sz="1400" b="1"/>
            <a:t>ANTERIOR</a:t>
          </a:r>
        </a:p>
      </xdr:txBody>
    </xdr:sp>
    <xdr:clientData/>
  </xdr:twoCellAnchor>
  <xdr:twoCellAnchor editAs="absolute">
    <xdr:from>
      <xdr:col>5</xdr:col>
      <xdr:colOff>1188720</xdr:colOff>
      <xdr:row>24</xdr:row>
      <xdr:rowOff>175260</xdr:rowOff>
    </xdr:from>
    <xdr:to>
      <xdr:col>6</xdr:col>
      <xdr:colOff>2270940</xdr:colOff>
      <xdr:row>26</xdr:row>
      <xdr:rowOff>60960</xdr:rowOff>
    </xdr:to>
    <xdr:sp macro="" textlink="">
      <xdr:nvSpPr>
        <xdr:cNvPr id="12" name="Retângulo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27493F3B-3592-42CC-9E18-729E270749EB}"/>
            </a:ext>
          </a:extLst>
        </xdr:cNvPr>
        <xdr:cNvSpPr/>
      </xdr:nvSpPr>
      <xdr:spPr>
        <a:xfrm>
          <a:off x="10462260" y="4732020"/>
          <a:ext cx="3132000" cy="25146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/>
            <a:t>PRÓXIMO</a:t>
          </a:r>
          <a:r>
            <a:rPr lang="pt-BR" sz="1400" b="1" baseline="0"/>
            <a:t> </a:t>
          </a:r>
          <a:r>
            <a:rPr lang="pt-BR" sz="1400" b="1"/>
            <a:t>-&gt;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53340</xdr:colOff>
      <xdr:row>9</xdr:row>
      <xdr:rowOff>53340</xdr:rowOff>
    </xdr:from>
    <xdr:to>
      <xdr:col>7</xdr:col>
      <xdr:colOff>2354580</xdr:colOff>
      <xdr:row>28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89FE9A-B41D-478B-8619-16CD396FD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7</xdr:col>
      <xdr:colOff>2407920</xdr:colOff>
      <xdr:row>9</xdr:row>
      <xdr:rowOff>53340</xdr:rowOff>
    </xdr:from>
    <xdr:to>
      <xdr:col>15</xdr:col>
      <xdr:colOff>586740</xdr:colOff>
      <xdr:row>28</xdr:row>
      <xdr:rowOff>129540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E065FEE-6370-4975-96FB-5B77EB0D36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scilla" refreshedDate="46031.892008101851" createdVersion="8" refreshedVersion="8" minRefreshableVersion="3" recordCount="16" xr:uid="{9F79DBE5-B830-49C6-961C-2548AF8376CA}">
  <cacheSource type="worksheet">
    <worksheetSource name="Tabela2"/>
  </cacheSource>
  <cacheFields count="7">
    <cacheField name="DATA " numFmtId="14">
      <sharedItems containsSemiMixedTypes="0" containsNonDate="0" containsDate="1" containsString="0" minDate="2025-02-10T00:00:00" maxDate="2026-01-25T00:00:00" count="32">
        <d v="2025-02-10T00:00:00"/>
        <d v="2025-03-10T00:00:00"/>
        <d v="2025-03-20T00:00:00"/>
        <d v="2025-03-25T00:00:00"/>
        <d v="2025-04-24T00:00:00"/>
        <d v="2025-05-02T00:00:00"/>
        <d v="2025-05-30T00:00:00"/>
        <d v="2025-06-15T00:00:00"/>
        <d v="2025-06-24T00:00:00"/>
        <d v="2025-07-20T00:00:00"/>
        <d v="2025-07-23T00:00:00"/>
        <d v="2025-08-10T00:00:00"/>
        <d v="2025-09-15T00:00:00"/>
        <d v="2025-10-17T00:00:00"/>
        <d v="2025-11-18T00:00:00"/>
        <d v="2025-12-19T00:00:00"/>
        <d v="2026-01-09T00:00:00" u="1"/>
        <d v="2026-01-10T00:00:00" u="1"/>
        <d v="2026-01-11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  <d v="2026-01-19T00:00:00" u="1"/>
        <d v="2026-01-20T00:00:00" u="1"/>
        <d v="2026-01-21T00:00:00" u="1"/>
        <d v="2026-01-22T00:00:00" u="1"/>
        <d v="2026-01-23T00:00:00" u="1"/>
        <d v="2026-01-24T00:00:00" u="1"/>
      </sharedItems>
      <fieldGroup par="6"/>
    </cacheField>
    <cacheField name="MÊS" numFmtId="14">
      <sharedItems/>
    </cacheField>
    <cacheField name="CATEGORIA " numFmtId="0">
      <sharedItems/>
    </cacheField>
    <cacheField name="TIPO" numFmtId="0">
      <sharedItems containsBlank="1" count="4">
        <s v="TRIBUTÁVEL"/>
        <s v="EXCLUSIVO NA FONTE"/>
        <s v="ISENTO"/>
        <m u="1"/>
      </sharedItems>
    </cacheField>
    <cacheField name="VALOR " numFmtId="167">
      <sharedItems containsSemiMixedTypes="0" containsString="0" containsNumber="1" containsInteger="1" minValue="500" maxValue="7500"/>
    </cacheField>
    <cacheField name="Meses (DATA )" numFmtId="0" databaseField="0">
      <fieldGroup base="0">
        <rangePr groupBy="months" startDate="2025-02-10T00:00:00" endDate="2025-12-20T00:00:00"/>
        <groupItems count="14">
          <s v="&lt;10/02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12/2025"/>
        </groupItems>
      </fieldGroup>
    </cacheField>
    <cacheField name="Anos (DATA )" numFmtId="0" databaseField="0">
      <fieldGroup base="0">
        <rangePr groupBy="years" startDate="2025-02-10T00:00:00" endDate="2025-12-20T00:00:00"/>
        <groupItems count="3">
          <s v="&lt;10/02/2025"/>
          <s v="2025"/>
          <s v="&gt;20/12/2025"/>
        </groupItems>
      </fieldGroup>
    </cacheField>
  </cacheFields>
  <extLst>
    <ext xmlns:x14="http://schemas.microsoft.com/office/spreadsheetml/2009/9/main" uri="{725AE2AE-9491-48be-B2B4-4EB974FC3084}">
      <x14:pivotCacheDefinition pivotCacheId="14197925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fevereiro"/>
    <s v="Holerites"/>
    <x v="0"/>
    <n v="3000"/>
  </r>
  <r>
    <x v="1"/>
    <s v="março"/>
    <s v="Freelance"/>
    <x v="1"/>
    <n v="5000"/>
  </r>
  <r>
    <x v="2"/>
    <s v="março"/>
    <s v="CNPJ"/>
    <x v="2"/>
    <n v="4500"/>
  </r>
  <r>
    <x v="3"/>
    <s v="março"/>
    <s v="CNPJ"/>
    <x v="0"/>
    <n v="5000"/>
  </r>
  <r>
    <x v="4"/>
    <s v="abril"/>
    <s v="Freelance"/>
    <x v="0"/>
    <n v="1095"/>
  </r>
  <r>
    <x v="5"/>
    <s v="maio"/>
    <s v="Freelance"/>
    <x v="0"/>
    <n v="2500"/>
  </r>
  <r>
    <x v="6"/>
    <s v="maio"/>
    <s v="CNPJ"/>
    <x v="1"/>
    <n v="7000"/>
  </r>
  <r>
    <x v="7"/>
    <s v="junho"/>
    <s v="CNPJ"/>
    <x v="0"/>
    <n v="7500"/>
  </r>
  <r>
    <x v="8"/>
    <s v="junho"/>
    <s v="CNPJ"/>
    <x v="0"/>
    <n v="4000"/>
  </r>
  <r>
    <x v="9"/>
    <s v="julho"/>
    <s v="Holerites"/>
    <x v="0"/>
    <n v="974"/>
  </r>
  <r>
    <x v="10"/>
    <s v="julho"/>
    <s v="Holerites"/>
    <x v="0"/>
    <n v="800"/>
  </r>
  <r>
    <x v="11"/>
    <s v="agosto"/>
    <s v="Holerites"/>
    <x v="1"/>
    <n v="500"/>
  </r>
  <r>
    <x v="12"/>
    <s v="setembro"/>
    <s v="Holerites"/>
    <x v="0"/>
    <n v="800"/>
  </r>
  <r>
    <x v="13"/>
    <s v="outubro"/>
    <s v="Holerites"/>
    <x v="0"/>
    <n v="560"/>
  </r>
  <r>
    <x v="14"/>
    <s v="novembro"/>
    <s v="Holerites"/>
    <x v="2"/>
    <n v="900"/>
  </r>
  <r>
    <x v="15"/>
    <s v="dezembro"/>
    <s v="Holerites"/>
    <x v="2"/>
    <n v="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6014E-29BA-4D82-BBBC-C45C00CEEA75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A3:E16" firstHeaderRow="1" firstDataRow="2" firstDataCol="1"/>
  <pivotFields count="7">
    <pivotField numFmtId="14" showAll="0">
      <items count="33"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showAll="0"/>
    <pivotField showAll="0"/>
    <pivotField axis="axisCol" showAll="0">
      <items count="5">
        <item m="1" x="3"/>
        <item x="0"/>
        <item x="1"/>
        <item x="2"/>
        <item t="default"/>
      </items>
    </pivotField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12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oma de VALOR " fld="4" baseField="0" baseItem="0"/>
  </dataFields>
  <formats count="11"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3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6" type="button" dataOnly="0" labelOnly="1" outline="0"/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Col="1" outline="0" fieldPosition="0"/>
    </format>
    <format dxfId="1">
      <pivotArea collapsedLevelsAreSubtotals="1" fieldPosition="0">
        <references count="1">
          <reference field="5" count="11"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0">
      <pivotArea grandRow="1" outline="0" collapsedLevelsAreSubtotals="1" fieldPosition="0"/>
    </format>
  </formats>
  <chartFormats count="39">
    <chartFormat chart="8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7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8" format="74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3"/>
          </reference>
        </references>
      </pivotArea>
    </chartFormat>
    <chartFormat chart="8" format="7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4"/>
          </reference>
        </references>
      </pivotArea>
    </chartFormat>
    <chartFormat chart="8" format="76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5"/>
          </reference>
        </references>
      </pivotArea>
    </chartFormat>
    <chartFormat chart="8" format="77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6"/>
          </reference>
        </references>
      </pivotArea>
    </chartFormat>
    <chartFormat chart="8" format="78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7"/>
          </reference>
        </references>
      </pivotArea>
    </chartFormat>
    <chartFormat chart="8" format="79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8"/>
          </reference>
        </references>
      </pivotArea>
    </chartFormat>
    <chartFormat chart="8" format="80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9"/>
          </reference>
        </references>
      </pivotArea>
    </chartFormat>
    <chartFormat chart="8" format="81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0"/>
          </reference>
        </references>
      </pivotArea>
    </chartFormat>
    <chartFormat chart="8" format="82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1"/>
          </reference>
        </references>
      </pivotArea>
    </chartFormat>
    <chartFormat chart="8" format="83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12"/>
          </reference>
        </references>
      </pivotArea>
    </chartFormat>
    <chartFormat chart="8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8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2"/>
          </reference>
        </references>
      </pivotArea>
    </chartFormat>
    <chartFormat chart="8" format="8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3"/>
          </reference>
        </references>
      </pivotArea>
    </chartFormat>
    <chartFormat chart="8" format="8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4"/>
          </reference>
        </references>
      </pivotArea>
    </chartFormat>
    <chartFormat chart="8" format="8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5"/>
          </reference>
        </references>
      </pivotArea>
    </chartFormat>
    <chartFormat chart="8" format="89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6"/>
          </reference>
        </references>
      </pivotArea>
    </chartFormat>
    <chartFormat chart="8" format="9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7"/>
          </reference>
        </references>
      </pivotArea>
    </chartFormat>
    <chartFormat chart="8" format="9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8"/>
          </reference>
        </references>
      </pivotArea>
    </chartFormat>
    <chartFormat chart="8" format="92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9"/>
          </reference>
        </references>
      </pivotArea>
    </chartFormat>
    <chartFormat chart="8" format="9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0"/>
          </reference>
        </references>
      </pivotArea>
    </chartFormat>
    <chartFormat chart="8" format="9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1"/>
          </reference>
        </references>
      </pivotArea>
    </chartFormat>
    <chartFormat chart="8" format="9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5" count="1" selected="0">
            <x v="12"/>
          </reference>
        </references>
      </pivotArea>
    </chartFormat>
    <chartFormat chart="8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9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2"/>
          </reference>
        </references>
      </pivotArea>
    </chartFormat>
    <chartFormat chart="8" format="98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3"/>
          </reference>
        </references>
      </pivotArea>
    </chartFormat>
    <chartFormat chart="8" format="99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4"/>
          </reference>
        </references>
      </pivotArea>
    </chartFormat>
    <chartFormat chart="8" format="100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5"/>
          </reference>
        </references>
      </pivotArea>
    </chartFormat>
    <chartFormat chart="8" format="10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6"/>
          </reference>
        </references>
      </pivotArea>
    </chartFormat>
    <chartFormat chart="8" format="102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7"/>
          </reference>
        </references>
      </pivotArea>
    </chartFormat>
    <chartFormat chart="8" format="103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8"/>
          </reference>
        </references>
      </pivotArea>
    </chartFormat>
    <chartFormat chart="8" format="104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9"/>
          </reference>
        </references>
      </pivotArea>
    </chartFormat>
    <chartFormat chart="8" format="105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0"/>
          </reference>
        </references>
      </pivotArea>
    </chartFormat>
    <chartFormat chart="8" format="106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1"/>
          </reference>
        </references>
      </pivotArea>
    </chartFormat>
    <chartFormat chart="8" format="107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5" count="1" selected="0">
            <x v="12"/>
          </reference>
        </references>
      </pivotArea>
    </chartFormat>
    <chartFormat chart="19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9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9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9DA2B8-D324-4A8E-91DF-5E2A931CE9D8}" name="Tabela2" displayName="Tabela2" ref="C8:G24" totalsRowShown="0" headerRowDxfId="17" dataDxfId="16">
  <autoFilter ref="C8:G24" xr:uid="{259DA2B8-D324-4A8E-91DF-5E2A931CE9D8}"/>
  <tableColumns count="5">
    <tableColumn id="1" xr3:uid="{50011316-0F5D-4DBB-A957-CBE71816765E}" name="DATA " dataDxfId="15"/>
    <tableColumn id="5" xr3:uid="{B7BAA27A-ABCE-41F1-8038-A1791E2380E9}" name="MÊS" dataDxfId="14">
      <calculatedColumnFormula>TEXT(Tabela2[[#This Row],[DATA ]],"MMMM")</calculatedColumnFormula>
    </tableColumn>
    <tableColumn id="2" xr3:uid="{2324827D-AED4-4878-ADFD-CE47B587E3C9}" name="CATEGORIA " dataDxfId="13"/>
    <tableColumn id="4" xr3:uid="{9A988BC5-241E-4346-8612-461C515124A5}" name="TIPO" dataDxfId="12"/>
    <tableColumn id="3" xr3:uid="{EA10EDC0-4695-4DF7-8392-C37A8A1319A3}" name="VALOR " dataDxfId="1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ergiomelo@graficajardim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6E821-9802-4DD1-9F01-96A0F7A7D8F2}">
  <sheetPr codeName="Planilha1"/>
  <dimension ref="A2:G25"/>
  <sheetViews>
    <sheetView showGridLines="0" showRowColHeaders="0" zoomScaleNormal="100" workbookViewId="0">
      <selection activeCell="C23" sqref="C23"/>
    </sheetView>
  </sheetViews>
  <sheetFormatPr defaultRowHeight="14.4" x14ac:dyDescent="0.3"/>
  <cols>
    <col min="1" max="1" width="32.77734375" style="1" customWidth="1"/>
    <col min="3" max="3" width="45.77734375" customWidth="1"/>
    <col min="4" max="4" width="47.77734375" customWidth="1"/>
  </cols>
  <sheetData>
    <row r="2" spans="3:7" ht="13.8" customHeight="1" x14ac:dyDescent="0.3">
      <c r="C2" s="8"/>
      <c r="D2" s="8"/>
      <c r="E2" s="8"/>
    </row>
    <row r="3" spans="3:7" ht="18.600000000000001" thickBot="1" x14ac:dyDescent="0.4">
      <c r="C3" s="9" t="s">
        <v>14</v>
      </c>
      <c r="D3" s="10"/>
      <c r="E3" s="8"/>
    </row>
    <row r="4" spans="3:7" ht="22.95" customHeight="1" thickTop="1" x14ac:dyDescent="0.3">
      <c r="C4" s="43" t="s">
        <v>15</v>
      </c>
      <c r="D4" s="43"/>
      <c r="E4" s="8"/>
    </row>
    <row r="5" spans="3:7" x14ac:dyDescent="0.3">
      <c r="E5" s="8"/>
    </row>
    <row r="6" spans="3:7" x14ac:dyDescent="0.3">
      <c r="C6" s="15" t="s">
        <v>95</v>
      </c>
      <c r="D6" s="32"/>
      <c r="E6" s="8"/>
    </row>
    <row r="7" spans="3:7" x14ac:dyDescent="0.3">
      <c r="C7" s="15" t="s">
        <v>94</v>
      </c>
      <c r="D7" s="32">
        <v>2025</v>
      </c>
      <c r="E7" s="8"/>
    </row>
    <row r="8" spans="3:7" x14ac:dyDescent="0.3">
      <c r="C8" s="15" t="s">
        <v>1</v>
      </c>
      <c r="D8" s="19" t="s">
        <v>16</v>
      </c>
      <c r="E8" s="8"/>
    </row>
    <row r="9" spans="3:7" x14ac:dyDescent="0.3">
      <c r="C9" s="17" t="s">
        <v>0</v>
      </c>
      <c r="D9" s="33">
        <v>784578545874</v>
      </c>
      <c r="E9" s="8"/>
    </row>
    <row r="10" spans="3:7" x14ac:dyDescent="0.3">
      <c r="C10" s="17" t="s">
        <v>2</v>
      </c>
      <c r="D10" s="18">
        <v>27763</v>
      </c>
      <c r="E10" s="8"/>
    </row>
    <row r="11" spans="3:7" x14ac:dyDescent="0.3">
      <c r="C11" s="17" t="s">
        <v>3</v>
      </c>
      <c r="D11" s="19">
        <v>607017280175</v>
      </c>
      <c r="E11" s="8"/>
    </row>
    <row r="12" spans="3:7" x14ac:dyDescent="0.3">
      <c r="C12" s="17" t="s">
        <v>4</v>
      </c>
      <c r="D12" s="20" t="s">
        <v>17</v>
      </c>
      <c r="E12" s="8"/>
    </row>
    <row r="13" spans="3:7" x14ac:dyDescent="0.3">
      <c r="C13" s="17" t="s">
        <v>5</v>
      </c>
      <c r="D13" s="20" t="s">
        <v>24</v>
      </c>
      <c r="E13" s="8"/>
    </row>
    <row r="14" spans="3:7" x14ac:dyDescent="0.3">
      <c r="C14" s="17" t="s">
        <v>6</v>
      </c>
      <c r="D14" s="20" t="s">
        <v>25</v>
      </c>
      <c r="E14" s="8"/>
    </row>
    <row r="15" spans="3:7" ht="15" thickBot="1" x14ac:dyDescent="0.35">
      <c r="C15" s="17" t="s">
        <v>7</v>
      </c>
      <c r="D15" s="21" t="s">
        <v>18</v>
      </c>
      <c r="E15" s="8"/>
      <c r="G15" s="2"/>
    </row>
    <row r="16" spans="3:7" ht="15" thickTop="1" x14ac:dyDescent="0.3">
      <c r="C16" s="17" t="s">
        <v>8</v>
      </c>
      <c r="D16" s="22" t="s">
        <v>19</v>
      </c>
      <c r="E16" s="8"/>
    </row>
    <row r="17" spans="3:5" x14ac:dyDescent="0.3">
      <c r="C17" s="17" t="s">
        <v>9</v>
      </c>
      <c r="D17" s="23" t="s">
        <v>20</v>
      </c>
      <c r="E17" s="8"/>
    </row>
    <row r="18" spans="3:5" x14ac:dyDescent="0.3">
      <c r="C18" s="17" t="s">
        <v>10</v>
      </c>
      <c r="D18" s="24" t="s">
        <v>21</v>
      </c>
      <c r="E18" s="8"/>
    </row>
    <row r="19" spans="3:5" x14ac:dyDescent="0.3">
      <c r="C19" s="17" t="s">
        <v>11</v>
      </c>
      <c r="D19" s="20" t="s">
        <v>22</v>
      </c>
      <c r="E19" s="8"/>
    </row>
    <row r="20" spans="3:5" x14ac:dyDescent="0.3">
      <c r="C20" s="17" t="s">
        <v>12</v>
      </c>
      <c r="D20" s="20" t="s">
        <v>23</v>
      </c>
      <c r="E20" s="8"/>
    </row>
    <row r="21" spans="3:5" x14ac:dyDescent="0.3">
      <c r="C21" s="25" t="s">
        <v>13</v>
      </c>
      <c r="D21" s="26" t="s">
        <v>22</v>
      </c>
      <c r="E21" s="8"/>
    </row>
    <row r="22" spans="3:5" x14ac:dyDescent="0.3">
      <c r="C22" s="8"/>
      <c r="D22" s="8"/>
      <c r="E22" s="8"/>
    </row>
    <row r="23" spans="3:5" x14ac:dyDescent="0.3">
      <c r="C23" s="8"/>
      <c r="D23" s="8"/>
      <c r="E23" s="8"/>
    </row>
    <row r="24" spans="3:5" x14ac:dyDescent="0.3">
      <c r="C24" s="8"/>
      <c r="D24" s="8"/>
      <c r="E24" s="8"/>
    </row>
    <row r="25" spans="3:5" x14ac:dyDescent="0.3">
      <c r="C25" s="8"/>
      <c r="D25" s="8"/>
      <c r="E25" s="8"/>
    </row>
  </sheetData>
  <sheetProtection sheet="1" objects="1" scenarios="1" selectLockedCells="1"/>
  <mergeCells count="1">
    <mergeCell ref="C4:D4"/>
  </mergeCells>
  <dataValidations count="2">
    <dataValidation type="list" allowBlank="1" showInputMessage="1" showErrorMessage="1" sqref="D19:D21" xr:uid="{2D2A9969-68B3-4832-A421-B1E96E53896B}">
      <formula1>"SIM,NÃO"</formula1>
    </dataValidation>
    <dataValidation type="list" allowBlank="1" showInputMessage="1" showErrorMessage="1" sqref="D6" xr:uid="{E7D513CE-E2F4-4AC1-B068-14A3CA9DFC90}">
      <formula1>"OBRIGATÓRIO,ISENTO,DEPENDENTE"</formula1>
    </dataValidation>
  </dataValidations>
  <hyperlinks>
    <hyperlink ref="D18" r:id="rId1" xr:uid="{539A501F-CAEB-4347-94D1-9E63DCB5226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AAFB-0E78-4072-B9C9-40C3ABA53859}">
  <sheetPr codeName="Planilha2"/>
  <dimension ref="A1:D31"/>
  <sheetViews>
    <sheetView showGridLines="0" showRowColHeaders="0" workbookViewId="0">
      <selection activeCell="C1" sqref="C1"/>
    </sheetView>
  </sheetViews>
  <sheetFormatPr defaultRowHeight="14.4" x14ac:dyDescent="0.3"/>
  <cols>
    <col min="1" max="1" width="32.77734375" style="1" customWidth="1"/>
    <col min="3" max="4" width="45.77734375" customWidth="1"/>
  </cols>
  <sheetData>
    <row r="1" spans="2:4" x14ac:dyDescent="0.3">
      <c r="B1" s="8"/>
      <c r="C1" s="27"/>
      <c r="D1" s="8"/>
    </row>
    <row r="2" spans="2:4" x14ac:dyDescent="0.3">
      <c r="B2" s="8"/>
      <c r="C2" s="8"/>
      <c r="D2" s="8"/>
    </row>
    <row r="3" spans="2:4" ht="18.600000000000001" thickBot="1" x14ac:dyDescent="0.4">
      <c r="B3" s="8"/>
      <c r="C3" s="9" t="s">
        <v>26</v>
      </c>
      <c r="D3" s="10"/>
    </row>
    <row r="4" spans="2:4" ht="22.95" customHeight="1" thickTop="1" x14ac:dyDescent="0.3">
      <c r="B4" s="8"/>
      <c r="C4" s="43" t="s">
        <v>27</v>
      </c>
      <c r="D4" s="43"/>
    </row>
    <row r="5" spans="2:4" x14ac:dyDescent="0.3">
      <c r="B5" s="8"/>
      <c r="C5" s="8"/>
      <c r="D5" s="8"/>
    </row>
    <row r="6" spans="2:4" x14ac:dyDescent="0.3">
      <c r="B6" s="8"/>
      <c r="C6" s="28" t="s">
        <v>86</v>
      </c>
      <c r="D6" s="8"/>
    </row>
    <row r="7" spans="2:4" ht="21" customHeight="1" x14ac:dyDescent="0.3">
      <c r="B7" s="8"/>
      <c r="C7" s="44">
        <f>SUM(D13,D20,D27)</f>
        <v>1500000</v>
      </c>
      <c r="D7" s="45"/>
    </row>
    <row r="8" spans="2:4" x14ac:dyDescent="0.3">
      <c r="B8" s="8"/>
      <c r="C8" s="8"/>
      <c r="D8" s="8"/>
    </row>
    <row r="9" spans="2:4" x14ac:dyDescent="0.3">
      <c r="B9" s="8"/>
      <c r="C9" s="29" t="s">
        <v>83</v>
      </c>
      <c r="D9" s="8"/>
    </row>
    <row r="10" spans="2:4" x14ac:dyDescent="0.3">
      <c r="B10" s="8"/>
      <c r="C10" s="15" t="s">
        <v>28</v>
      </c>
      <c r="D10" s="16" t="s">
        <v>31</v>
      </c>
    </row>
    <row r="11" spans="2:4" x14ac:dyDescent="0.3">
      <c r="B11" s="8"/>
      <c r="C11" s="15" t="s">
        <v>96</v>
      </c>
      <c r="D11" s="16"/>
    </row>
    <row r="12" spans="2:4" x14ac:dyDescent="0.3">
      <c r="B12" s="8"/>
      <c r="C12" s="15" t="s">
        <v>97</v>
      </c>
      <c r="D12" s="16"/>
    </row>
    <row r="13" spans="2:4" x14ac:dyDescent="0.3">
      <c r="B13" s="8"/>
      <c r="C13" s="17" t="s">
        <v>29</v>
      </c>
      <c r="D13" s="30">
        <v>500000</v>
      </c>
    </row>
    <row r="14" spans="2:4" x14ac:dyDescent="0.3">
      <c r="B14" s="8"/>
      <c r="C14" s="17" t="s">
        <v>30</v>
      </c>
      <c r="D14" s="18">
        <v>27763</v>
      </c>
    </row>
    <row r="15" spans="2:4" x14ac:dyDescent="0.3">
      <c r="B15" s="8"/>
      <c r="C15" s="8"/>
      <c r="D15" s="8"/>
    </row>
    <row r="16" spans="2:4" x14ac:dyDescent="0.3">
      <c r="B16" s="8"/>
      <c r="C16" s="29" t="s">
        <v>84</v>
      </c>
      <c r="D16" s="8"/>
    </row>
    <row r="17" spans="2:4" x14ac:dyDescent="0.3">
      <c r="B17" s="8"/>
      <c r="C17" s="15" t="s">
        <v>28</v>
      </c>
      <c r="D17" s="16" t="s">
        <v>31</v>
      </c>
    </row>
    <row r="18" spans="2:4" x14ac:dyDescent="0.3">
      <c r="B18" s="8"/>
      <c r="C18" s="15" t="s">
        <v>96</v>
      </c>
      <c r="D18" s="16"/>
    </row>
    <row r="19" spans="2:4" x14ac:dyDescent="0.3">
      <c r="B19" s="8"/>
      <c r="C19" s="15" t="s">
        <v>97</v>
      </c>
      <c r="D19" s="16"/>
    </row>
    <row r="20" spans="2:4" x14ac:dyDescent="0.3">
      <c r="B20" s="8"/>
      <c r="C20" s="17" t="s">
        <v>29</v>
      </c>
      <c r="D20" s="30">
        <v>500000</v>
      </c>
    </row>
    <row r="21" spans="2:4" x14ac:dyDescent="0.3">
      <c r="B21" s="8"/>
      <c r="C21" s="17" t="s">
        <v>30</v>
      </c>
      <c r="D21" s="18">
        <v>27763</v>
      </c>
    </row>
    <row r="22" spans="2:4" x14ac:dyDescent="0.3">
      <c r="B22" s="8"/>
    </row>
    <row r="23" spans="2:4" x14ac:dyDescent="0.3">
      <c r="B23" s="8"/>
      <c r="C23" s="29" t="s">
        <v>85</v>
      </c>
      <c r="D23" s="8"/>
    </row>
    <row r="24" spans="2:4" x14ac:dyDescent="0.3">
      <c r="B24" s="8"/>
      <c r="C24" s="15" t="s">
        <v>28</v>
      </c>
      <c r="D24" s="16" t="s">
        <v>31</v>
      </c>
    </row>
    <row r="25" spans="2:4" x14ac:dyDescent="0.3">
      <c r="B25" s="8"/>
      <c r="C25" s="15" t="s">
        <v>96</v>
      </c>
      <c r="D25" s="16"/>
    </row>
    <row r="26" spans="2:4" x14ac:dyDescent="0.3">
      <c r="B26" s="8"/>
      <c r="C26" s="15" t="s">
        <v>97</v>
      </c>
      <c r="D26" s="16"/>
    </row>
    <row r="27" spans="2:4" x14ac:dyDescent="0.3">
      <c r="B27" s="8"/>
      <c r="C27" s="17" t="s">
        <v>29</v>
      </c>
      <c r="D27" s="30">
        <v>500000</v>
      </c>
    </row>
    <row r="28" spans="2:4" x14ac:dyDescent="0.3">
      <c r="B28" s="8"/>
      <c r="C28" s="17" t="s">
        <v>30</v>
      </c>
      <c r="D28" s="18">
        <v>27763</v>
      </c>
    </row>
    <row r="29" spans="2:4" x14ac:dyDescent="0.3">
      <c r="B29" s="8"/>
      <c r="C29" s="8"/>
      <c r="D29" s="8"/>
    </row>
    <row r="30" spans="2:4" x14ac:dyDescent="0.3">
      <c r="B30" s="8"/>
    </row>
    <row r="31" spans="2:4" x14ac:dyDescent="0.3">
      <c r="B31" s="8"/>
      <c r="C31" s="8"/>
      <c r="D31" s="8"/>
    </row>
  </sheetData>
  <sheetProtection selectLockedCells="1"/>
  <mergeCells count="2">
    <mergeCell ref="C4:D4"/>
    <mergeCell ref="C7:D7"/>
  </mergeCells>
  <dataValidations xWindow="973" yWindow="581" count="2">
    <dataValidation type="list" allowBlank="1" showInputMessage="1" showErrorMessage="1" errorTitle="Tente novamente" error="Opção não encontrada" promptTitle="Selecione " prompt="Selecione Sim ou Não" sqref="D12 D19 D26" xr:uid="{A817709C-EC1B-40F3-965E-8914078B2A3A}">
      <formula1>"TRIBUTÁVEL,ISENTO,EXCLUSIVO DA FONTE"</formula1>
    </dataValidation>
    <dataValidation type="list" allowBlank="1" showInputMessage="1" showErrorMessage="1" errorTitle="Não encontrado" error="Rendimento não encontrado_x000a_" promptTitle="Selecione o tipo" prompt="Selecione o tipo de rendimento desejado" sqref="D11 D18 D25" xr:uid="{5C84BA9B-EFDE-494C-B06A-E7727DB026F3}">
      <formula1>"TRIBUTÁVEL,ISENTO,EXCLUSIVO DA FONTE"</formula1>
    </dataValidation>
  </dataValidation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xWindow="973" yWindow="581" count="1">
        <x14:dataValidation type="list" allowBlank="1" showInputMessage="1" showErrorMessage="1" errorTitle="Banco não encontrado" error="Informe um banco da lista" promptTitle="Informe um banco " prompt="Informe um banco vinculado ao seu CPF" xr:uid="{9F3D2368-AC22-47B4-84B5-D2B9E46EFD13}">
          <x14:formula1>
            <xm:f>Tabelas!$A$2:$A$51</xm:f>
          </x14:formula1>
          <xm:sqref>D24 D17 D10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181E-99CB-4D74-AB6A-66F836213A07}">
  <sheetPr codeName="Planilha3"/>
  <dimension ref="A2:I26"/>
  <sheetViews>
    <sheetView showGridLines="0" showRowColHeaders="0" zoomScaleNormal="100" workbookViewId="0">
      <selection activeCell="G29" sqref="G29"/>
    </sheetView>
  </sheetViews>
  <sheetFormatPr defaultRowHeight="14.4" x14ac:dyDescent="0.3"/>
  <cols>
    <col min="1" max="1" width="32.77734375" style="1" customWidth="1"/>
    <col min="3" max="4" width="33" style="6" customWidth="1"/>
    <col min="5" max="5" width="27.5546875" customWidth="1"/>
    <col min="6" max="6" width="29.88671875" customWidth="1"/>
    <col min="7" max="7" width="33.21875" style="7" customWidth="1"/>
  </cols>
  <sheetData>
    <row r="2" spans="1:9" x14ac:dyDescent="0.3">
      <c r="C2" s="31"/>
      <c r="D2" s="31"/>
      <c r="E2" s="8"/>
      <c r="F2" s="8"/>
      <c r="G2" s="36"/>
    </row>
    <row r="3" spans="1:9" ht="18.600000000000001" thickBot="1" x14ac:dyDescent="0.4">
      <c r="C3" s="34" t="s">
        <v>87</v>
      </c>
      <c r="D3" s="34"/>
      <c r="E3" s="10"/>
      <c r="F3" s="10"/>
      <c r="G3" s="37"/>
    </row>
    <row r="4" spans="1:9" ht="15" thickTop="1" x14ac:dyDescent="0.3">
      <c r="C4" s="43" t="s">
        <v>88</v>
      </c>
      <c r="D4" s="43"/>
      <c r="E4" s="43"/>
      <c r="F4" s="43"/>
      <c r="G4" s="43"/>
    </row>
    <row r="5" spans="1:9" x14ac:dyDescent="0.3">
      <c r="C5" s="31"/>
      <c r="D5" s="31"/>
      <c r="E5" s="8"/>
      <c r="F5" s="8"/>
      <c r="G5" s="36"/>
    </row>
    <row r="6" spans="1:9" x14ac:dyDescent="0.3">
      <c r="C6" s="31"/>
      <c r="D6" s="31"/>
      <c r="E6" s="8"/>
      <c r="F6" s="8"/>
      <c r="G6" s="36"/>
    </row>
    <row r="7" spans="1:9" s="4" customFormat="1" ht="22.95" customHeight="1" x14ac:dyDescent="0.3">
      <c r="A7" s="5"/>
      <c r="C7" s="46" t="s">
        <v>89</v>
      </c>
      <c r="D7" s="46"/>
      <c r="E7" s="46"/>
      <c r="F7" s="46"/>
      <c r="G7" s="46"/>
      <c r="I7" s="4" t="s">
        <v>99</v>
      </c>
    </row>
    <row r="8" spans="1:9" x14ac:dyDescent="0.3">
      <c r="C8" s="35" t="s">
        <v>90</v>
      </c>
      <c r="D8" s="35" t="s">
        <v>100</v>
      </c>
      <c r="E8" s="11" t="s">
        <v>91</v>
      </c>
      <c r="F8" s="11" t="s">
        <v>98</v>
      </c>
      <c r="G8" s="38" t="s">
        <v>92</v>
      </c>
    </row>
    <row r="9" spans="1:9" x14ac:dyDescent="0.3">
      <c r="C9" s="12">
        <v>45698</v>
      </c>
      <c r="D9" s="12" t="str">
        <f>TEXT(Tabela2[[#This Row],[DATA ]],"MMMM")</f>
        <v>fevereiro</v>
      </c>
      <c r="E9" s="13" t="s">
        <v>93</v>
      </c>
      <c r="F9" s="13" t="s">
        <v>104</v>
      </c>
      <c r="G9" s="14">
        <v>3000</v>
      </c>
    </row>
    <row r="10" spans="1:9" x14ac:dyDescent="0.3">
      <c r="C10" s="12">
        <v>45726</v>
      </c>
      <c r="D10" s="12" t="str">
        <f>TEXT(Tabela2[[#This Row],[DATA ]],"MMMM")</f>
        <v>março</v>
      </c>
      <c r="E10" s="13" t="s">
        <v>106</v>
      </c>
      <c r="F10" s="13" t="s">
        <v>107</v>
      </c>
      <c r="G10" s="14">
        <v>5000</v>
      </c>
    </row>
    <row r="11" spans="1:9" x14ac:dyDescent="0.3">
      <c r="C11" s="12">
        <v>45736</v>
      </c>
      <c r="D11" s="12" t="str">
        <f>TEXT(Tabela2[[#This Row],[DATA ]],"MMMM")</f>
        <v>março</v>
      </c>
      <c r="E11" s="13" t="s">
        <v>109</v>
      </c>
      <c r="F11" s="13" t="s">
        <v>108</v>
      </c>
      <c r="G11" s="14">
        <v>4500</v>
      </c>
    </row>
    <row r="12" spans="1:9" x14ac:dyDescent="0.3">
      <c r="C12" s="12">
        <v>45741</v>
      </c>
      <c r="D12" s="12" t="str">
        <f>TEXT(Tabela2[[#This Row],[DATA ]],"MMMM")</f>
        <v>março</v>
      </c>
      <c r="E12" s="13" t="s">
        <v>109</v>
      </c>
      <c r="F12" s="13" t="s">
        <v>104</v>
      </c>
      <c r="G12" s="14">
        <v>5000</v>
      </c>
    </row>
    <row r="13" spans="1:9" x14ac:dyDescent="0.3">
      <c r="C13" s="12">
        <v>45771</v>
      </c>
      <c r="D13" s="12" t="str">
        <f>TEXT(Tabela2[[#This Row],[DATA ]],"MMMM")</f>
        <v>abril</v>
      </c>
      <c r="E13" s="13" t="s">
        <v>106</v>
      </c>
      <c r="F13" s="13" t="s">
        <v>104</v>
      </c>
      <c r="G13" s="14">
        <v>1095</v>
      </c>
    </row>
    <row r="14" spans="1:9" x14ac:dyDescent="0.3">
      <c r="C14" s="12">
        <v>45779</v>
      </c>
      <c r="D14" s="12" t="str">
        <f>TEXT(Tabela2[[#This Row],[DATA ]],"MMMM")</f>
        <v>maio</v>
      </c>
      <c r="E14" s="13" t="s">
        <v>106</v>
      </c>
      <c r="F14" s="13" t="s">
        <v>104</v>
      </c>
      <c r="G14" s="14">
        <v>2500</v>
      </c>
    </row>
    <row r="15" spans="1:9" x14ac:dyDescent="0.3">
      <c r="C15" s="12">
        <v>45807</v>
      </c>
      <c r="D15" s="12" t="str">
        <f>TEXT(Tabela2[[#This Row],[DATA ]],"MMMM")</f>
        <v>maio</v>
      </c>
      <c r="E15" s="13" t="s">
        <v>109</v>
      </c>
      <c r="F15" s="13" t="s">
        <v>107</v>
      </c>
      <c r="G15" s="14">
        <v>7000</v>
      </c>
    </row>
    <row r="16" spans="1:9" x14ac:dyDescent="0.3">
      <c r="C16" s="12">
        <v>45823</v>
      </c>
      <c r="D16" s="12" t="str">
        <f>TEXT(Tabela2[[#This Row],[DATA ]],"MMMM")</f>
        <v>junho</v>
      </c>
      <c r="E16" s="13" t="s">
        <v>109</v>
      </c>
      <c r="F16" s="13" t="s">
        <v>104</v>
      </c>
      <c r="G16" s="14">
        <v>7500</v>
      </c>
    </row>
    <row r="17" spans="3:7" x14ac:dyDescent="0.3">
      <c r="C17" s="12">
        <v>45832</v>
      </c>
      <c r="D17" s="12" t="str">
        <f>TEXT(Tabela2[[#This Row],[DATA ]],"MMMM")</f>
        <v>junho</v>
      </c>
      <c r="E17" s="13" t="s">
        <v>109</v>
      </c>
      <c r="F17" s="13" t="s">
        <v>104</v>
      </c>
      <c r="G17" s="14">
        <v>4000</v>
      </c>
    </row>
    <row r="18" spans="3:7" x14ac:dyDescent="0.3">
      <c r="C18" s="12">
        <v>45858</v>
      </c>
      <c r="D18" s="12" t="str">
        <f>TEXT(Tabela2[[#This Row],[DATA ]],"MMMM")</f>
        <v>julho</v>
      </c>
      <c r="E18" s="13" t="s">
        <v>93</v>
      </c>
      <c r="F18" s="13" t="s">
        <v>104</v>
      </c>
      <c r="G18" s="14">
        <v>974</v>
      </c>
    </row>
    <row r="19" spans="3:7" x14ac:dyDescent="0.3">
      <c r="C19" s="12">
        <v>45861</v>
      </c>
      <c r="D19" s="12" t="str">
        <f>TEXT(Tabela2[[#This Row],[DATA ]],"MMMM")</f>
        <v>julho</v>
      </c>
      <c r="E19" s="13" t="s">
        <v>93</v>
      </c>
      <c r="F19" s="13" t="s">
        <v>104</v>
      </c>
      <c r="G19" s="14">
        <v>800</v>
      </c>
    </row>
    <row r="20" spans="3:7" x14ac:dyDescent="0.3">
      <c r="C20" s="12">
        <v>45879</v>
      </c>
      <c r="D20" s="12" t="str">
        <f>TEXT(Tabela2[[#This Row],[DATA ]],"MMMM")</f>
        <v>agosto</v>
      </c>
      <c r="E20" s="13" t="s">
        <v>93</v>
      </c>
      <c r="F20" s="13" t="s">
        <v>107</v>
      </c>
      <c r="G20" s="14">
        <v>500</v>
      </c>
    </row>
    <row r="21" spans="3:7" x14ac:dyDescent="0.3">
      <c r="C21" s="12">
        <v>45915</v>
      </c>
      <c r="D21" s="12" t="str">
        <f>TEXT(Tabela2[[#This Row],[DATA ]],"MMMM")</f>
        <v>setembro</v>
      </c>
      <c r="E21" s="13" t="s">
        <v>93</v>
      </c>
      <c r="F21" s="13" t="s">
        <v>104</v>
      </c>
      <c r="G21" s="14">
        <v>800</v>
      </c>
    </row>
    <row r="22" spans="3:7" x14ac:dyDescent="0.3">
      <c r="C22" s="12">
        <v>45947</v>
      </c>
      <c r="D22" s="12" t="str">
        <f>TEXT(Tabela2[[#This Row],[DATA ]],"MMMM")</f>
        <v>outubro</v>
      </c>
      <c r="E22" s="13" t="s">
        <v>93</v>
      </c>
      <c r="F22" s="13" t="s">
        <v>104</v>
      </c>
      <c r="G22" s="14">
        <v>560</v>
      </c>
    </row>
    <row r="23" spans="3:7" x14ac:dyDescent="0.3">
      <c r="C23" s="12">
        <v>45979</v>
      </c>
      <c r="D23" s="12" t="str">
        <f>TEXT(Tabela2[[#This Row],[DATA ]],"MMMM")</f>
        <v>novembro</v>
      </c>
      <c r="E23" s="13" t="s">
        <v>93</v>
      </c>
      <c r="F23" s="13" t="s">
        <v>108</v>
      </c>
      <c r="G23" s="14">
        <v>900</v>
      </c>
    </row>
    <row r="24" spans="3:7" x14ac:dyDescent="0.3">
      <c r="C24" s="12">
        <v>46010</v>
      </c>
      <c r="D24" s="12" t="str">
        <f>TEXT(Tabela2[[#This Row],[DATA ]],"MMMM")</f>
        <v>dezembro</v>
      </c>
      <c r="E24" s="13" t="s">
        <v>93</v>
      </c>
      <c r="F24" s="13" t="s">
        <v>108</v>
      </c>
      <c r="G24" s="14">
        <v>700</v>
      </c>
    </row>
    <row r="25" spans="3:7" x14ac:dyDescent="0.3">
      <c r="C25" s="31"/>
      <c r="D25" s="31"/>
      <c r="E25" s="8"/>
      <c r="F25" s="8"/>
      <c r="G25" s="36"/>
    </row>
    <row r="26" spans="3:7" x14ac:dyDescent="0.3">
      <c r="C26" s="31"/>
      <c r="D26" s="31"/>
      <c r="E26" s="8"/>
      <c r="F26" s="8"/>
      <c r="G26" s="36"/>
    </row>
  </sheetData>
  <sheetProtection selectLockedCells="1"/>
  <mergeCells count="2">
    <mergeCell ref="C4:G4"/>
    <mergeCell ref="C7:G7"/>
  </mergeCells>
  <dataValidations count="2">
    <dataValidation type="list" allowBlank="1" showInputMessage="1" showErrorMessage="1" sqref="E9:E24" xr:uid="{0CAD60DC-1980-4A55-B575-03350E32F6E9}">
      <formula1>"Holerites,CNPJ,Freelance"</formula1>
    </dataValidation>
    <dataValidation type="list" allowBlank="1" showInputMessage="1" showErrorMessage="1" sqref="F9:F24" xr:uid="{B5DB2C9A-33AD-451D-8B2E-3FAAAC84D418}">
      <formula1>"TRIBUTÁVEL,ISENTO,EXCLUSIVO NA FONTE"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0911-1EBF-404B-B4D6-1AA19B0454D8}">
  <sheetPr codeName="Planilha5"/>
  <dimension ref="A3:I27"/>
  <sheetViews>
    <sheetView showGridLines="0" showRowColHeaders="0" tabSelected="1" topLeftCell="B1" workbookViewId="0">
      <selection activeCell="G40" sqref="G40"/>
    </sheetView>
  </sheetViews>
  <sheetFormatPr defaultRowHeight="14.4" x14ac:dyDescent="0.3"/>
  <cols>
    <col min="1" max="1" width="28.77734375" hidden="1" customWidth="1"/>
    <col min="2" max="2" width="6.109375" customWidth="1"/>
    <col min="3" max="3" width="16.77734375" customWidth="1"/>
    <col min="4" max="4" width="51.21875" hidden="1" customWidth="1"/>
    <col min="5" max="6" width="8.88671875" hidden="1" customWidth="1"/>
    <col min="7" max="7" width="29.5546875" customWidth="1"/>
    <col min="8" max="8" width="43.44140625" customWidth="1"/>
    <col min="9" max="9" width="41.6640625" customWidth="1"/>
  </cols>
  <sheetData>
    <row r="3" spans="1:9" ht="27" customHeight="1" x14ac:dyDescent="0.3">
      <c r="A3" t="s">
        <v>122</v>
      </c>
      <c r="H3" s="47" t="s">
        <v>121</v>
      </c>
      <c r="I3" s="48"/>
    </row>
    <row r="4" spans="1:9" ht="25.05" customHeight="1" x14ac:dyDescent="0.3">
      <c r="A4" t="s">
        <v>123</v>
      </c>
      <c r="H4" s="49" t="str">
        <f>_xlfn.TEXTBEFORE(A3,":")</f>
        <v>Total Recebido no Ano</v>
      </c>
      <c r="I4" s="50">
        <f>VALUE(_xlfn.TEXTAFTER(A3,":"))</f>
        <v>44829</v>
      </c>
    </row>
    <row r="5" spans="1:9" ht="25.05" customHeight="1" x14ac:dyDescent="0.3">
      <c r="A5" t="s">
        <v>124</v>
      </c>
      <c r="H5" s="49" t="str">
        <f>_xlfn.TEXTBEFORE(A4,":")</f>
        <v>Rendimentos Tributáveis</v>
      </c>
      <c r="I5" s="50">
        <f>VALUE(_xlfn.TEXTAFTER(A4,":"))</f>
        <v>26229</v>
      </c>
    </row>
    <row r="6" spans="1:9" ht="25.05" customHeight="1" x14ac:dyDescent="0.3">
      <c r="A6" t="s">
        <v>125</v>
      </c>
      <c r="H6" s="49" t="str">
        <f>_xlfn.TEXTBEFORE(A5,":")</f>
        <v>Rendimentos Isentos</v>
      </c>
      <c r="I6" s="50">
        <f>VALUE(_xlfn.TEXTAFTER(A5,":"))</f>
        <v>6100</v>
      </c>
    </row>
    <row r="7" spans="1:9" ht="25.05" customHeight="1" x14ac:dyDescent="0.3">
      <c r="H7" s="49" t="str">
        <f>_xlfn.TEXTBEFORE(A6,":")</f>
        <v>Rendimentos Exclusivos</v>
      </c>
      <c r="I7" s="50">
        <f>VALUE(_xlfn.TEXTAFTER(A6,":"))</f>
        <v>12500</v>
      </c>
    </row>
    <row r="27" spans="9:9" x14ac:dyDescent="0.3">
      <c r="I27" s="51"/>
    </row>
  </sheetData>
  <sheetProtection selectLockedCells="1"/>
  <dataConsolidate/>
  <mergeCells count="1">
    <mergeCell ref="H3:I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41CA-A46A-4046-89A3-5A40067E26C5}">
  <sheetPr codeName="Planilha6"/>
  <dimension ref="A3:E16"/>
  <sheetViews>
    <sheetView showGridLines="0" workbookViewId="0">
      <selection activeCell="C25" sqref="C25"/>
    </sheetView>
  </sheetViews>
  <sheetFormatPr defaultRowHeight="14.4" x14ac:dyDescent="0.3"/>
  <cols>
    <col min="1" max="1" width="16.77734375" bestFit="1" customWidth="1"/>
    <col min="2" max="2" width="18.109375" bestFit="1" customWidth="1"/>
    <col min="3" max="3" width="19.44140625" bestFit="1" customWidth="1"/>
    <col min="4" max="4" width="10.5546875" bestFit="1" customWidth="1"/>
    <col min="5" max="5" width="11.5546875" bestFit="1" customWidth="1"/>
  </cols>
  <sheetData>
    <row r="3" spans="1:5" x14ac:dyDescent="0.3">
      <c r="A3" s="39" t="s">
        <v>105</v>
      </c>
      <c r="B3" s="39" t="s">
        <v>103</v>
      </c>
      <c r="C3" s="40"/>
      <c r="D3" s="40"/>
      <c r="E3" s="40"/>
    </row>
    <row r="4" spans="1:5" x14ac:dyDescent="0.3">
      <c r="A4" s="39" t="s">
        <v>101</v>
      </c>
      <c r="B4" s="40" t="s">
        <v>104</v>
      </c>
      <c r="C4" s="40" t="s">
        <v>107</v>
      </c>
      <c r="D4" s="40" t="s">
        <v>108</v>
      </c>
      <c r="E4" s="40" t="s">
        <v>102</v>
      </c>
    </row>
    <row r="5" spans="1:5" x14ac:dyDescent="0.3">
      <c r="A5" s="41" t="s">
        <v>110</v>
      </c>
      <c r="B5" s="42">
        <v>3000</v>
      </c>
      <c r="C5" s="42"/>
      <c r="D5" s="42"/>
      <c r="E5" s="42">
        <v>3000</v>
      </c>
    </row>
    <row r="6" spans="1:5" x14ac:dyDescent="0.3">
      <c r="A6" s="41" t="s">
        <v>111</v>
      </c>
      <c r="B6" s="42">
        <v>5000</v>
      </c>
      <c r="C6" s="42">
        <v>5000</v>
      </c>
      <c r="D6" s="42">
        <v>4500</v>
      </c>
      <c r="E6" s="42">
        <v>14500</v>
      </c>
    </row>
    <row r="7" spans="1:5" x14ac:dyDescent="0.3">
      <c r="A7" s="41" t="s">
        <v>112</v>
      </c>
      <c r="B7" s="42">
        <v>1095</v>
      </c>
      <c r="C7" s="42"/>
      <c r="D7" s="42"/>
      <c r="E7" s="42">
        <v>1095</v>
      </c>
    </row>
    <row r="8" spans="1:5" x14ac:dyDescent="0.3">
      <c r="A8" s="41" t="s">
        <v>113</v>
      </c>
      <c r="B8" s="42">
        <v>2500</v>
      </c>
      <c r="C8" s="42">
        <v>7000</v>
      </c>
      <c r="D8" s="42"/>
      <c r="E8" s="42">
        <v>9500</v>
      </c>
    </row>
    <row r="9" spans="1:5" x14ac:dyDescent="0.3">
      <c r="A9" s="41" t="s">
        <v>114</v>
      </c>
      <c r="B9" s="42">
        <v>11500</v>
      </c>
      <c r="C9" s="42"/>
      <c r="D9" s="42"/>
      <c r="E9" s="42">
        <v>11500</v>
      </c>
    </row>
    <row r="10" spans="1:5" x14ac:dyDescent="0.3">
      <c r="A10" s="41" t="s">
        <v>115</v>
      </c>
      <c r="B10" s="42">
        <v>1774</v>
      </c>
      <c r="C10" s="42"/>
      <c r="D10" s="42"/>
      <c r="E10" s="42">
        <v>1774</v>
      </c>
    </row>
    <row r="11" spans="1:5" x14ac:dyDescent="0.3">
      <c r="A11" s="41" t="s">
        <v>116</v>
      </c>
      <c r="B11" s="42"/>
      <c r="C11" s="42">
        <v>500</v>
      </c>
      <c r="D11" s="42"/>
      <c r="E11" s="42">
        <v>500</v>
      </c>
    </row>
    <row r="12" spans="1:5" x14ac:dyDescent="0.3">
      <c r="A12" s="41" t="s">
        <v>117</v>
      </c>
      <c r="B12" s="42">
        <v>800</v>
      </c>
      <c r="C12" s="42"/>
      <c r="D12" s="42"/>
      <c r="E12" s="42">
        <v>800</v>
      </c>
    </row>
    <row r="13" spans="1:5" x14ac:dyDescent="0.3">
      <c r="A13" s="41" t="s">
        <v>118</v>
      </c>
      <c r="B13" s="42">
        <v>560</v>
      </c>
      <c r="C13" s="42"/>
      <c r="D13" s="42"/>
      <c r="E13" s="42">
        <v>560</v>
      </c>
    </row>
    <row r="14" spans="1:5" x14ac:dyDescent="0.3">
      <c r="A14" s="41" t="s">
        <v>119</v>
      </c>
      <c r="B14" s="42"/>
      <c r="C14" s="42"/>
      <c r="D14" s="42">
        <v>900</v>
      </c>
      <c r="E14" s="42">
        <v>900</v>
      </c>
    </row>
    <row r="15" spans="1:5" x14ac:dyDescent="0.3">
      <c r="A15" s="41" t="s">
        <v>120</v>
      </c>
      <c r="B15" s="42"/>
      <c r="C15" s="42"/>
      <c r="D15" s="42">
        <v>700</v>
      </c>
      <c r="E15" s="42">
        <v>700</v>
      </c>
    </row>
    <row r="16" spans="1:5" x14ac:dyDescent="0.3">
      <c r="A16" s="41" t="s">
        <v>102</v>
      </c>
      <c r="B16" s="42">
        <v>26229</v>
      </c>
      <c r="C16" s="42">
        <v>12500</v>
      </c>
      <c r="D16" s="42">
        <v>6100</v>
      </c>
      <c r="E16" s="42">
        <v>44829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EA4F5-0D2E-4FE6-A56D-07D74521BA4A}">
  <sheetPr codeName="Planilha4"/>
  <dimension ref="A1:A51"/>
  <sheetViews>
    <sheetView topLeftCell="A2" workbookViewId="0">
      <selection activeCell="I13" sqref="I13"/>
    </sheetView>
  </sheetViews>
  <sheetFormatPr defaultRowHeight="14.4" x14ac:dyDescent="0.3"/>
  <cols>
    <col min="1" max="1" width="34.88671875" bestFit="1" customWidth="1"/>
  </cols>
  <sheetData>
    <row r="1" spans="1:1" x14ac:dyDescent="0.3">
      <c r="A1" s="3" t="s">
        <v>32</v>
      </c>
    </row>
    <row r="2" spans="1:1" x14ac:dyDescent="0.3">
      <c r="A2" t="s">
        <v>33</v>
      </c>
    </row>
    <row r="3" spans="1:1" x14ac:dyDescent="0.3">
      <c r="A3" t="s">
        <v>34</v>
      </c>
    </row>
    <row r="4" spans="1:1" x14ac:dyDescent="0.3">
      <c r="A4" t="s">
        <v>35</v>
      </c>
    </row>
    <row r="5" spans="1:1" x14ac:dyDescent="0.3">
      <c r="A5" t="s">
        <v>36</v>
      </c>
    </row>
    <row r="6" spans="1:1" x14ac:dyDescent="0.3">
      <c r="A6" t="s">
        <v>37</v>
      </c>
    </row>
    <row r="7" spans="1:1" x14ac:dyDescent="0.3">
      <c r="A7" t="s">
        <v>38</v>
      </c>
    </row>
    <row r="8" spans="1:1" x14ac:dyDescent="0.3">
      <c r="A8" t="s">
        <v>39</v>
      </c>
    </row>
    <row r="9" spans="1:1" x14ac:dyDescent="0.3">
      <c r="A9" t="s">
        <v>40</v>
      </c>
    </row>
    <row r="10" spans="1:1" x14ac:dyDescent="0.3">
      <c r="A10" t="s">
        <v>41</v>
      </c>
    </row>
    <row r="11" spans="1:1" x14ac:dyDescent="0.3">
      <c r="A11" t="s">
        <v>42</v>
      </c>
    </row>
    <row r="12" spans="1:1" x14ac:dyDescent="0.3">
      <c r="A12" t="s">
        <v>43</v>
      </c>
    </row>
    <row r="13" spans="1:1" x14ac:dyDescent="0.3">
      <c r="A13" t="s">
        <v>44</v>
      </c>
    </row>
    <row r="14" spans="1:1" x14ac:dyDescent="0.3">
      <c r="A14" t="s">
        <v>45</v>
      </c>
    </row>
    <row r="15" spans="1:1" x14ac:dyDescent="0.3">
      <c r="A15" t="s">
        <v>46</v>
      </c>
    </row>
    <row r="16" spans="1:1" x14ac:dyDescent="0.3">
      <c r="A16" t="s">
        <v>47</v>
      </c>
    </row>
    <row r="17" spans="1:1" x14ac:dyDescent="0.3">
      <c r="A17" t="s">
        <v>48</v>
      </c>
    </row>
    <row r="18" spans="1:1" x14ac:dyDescent="0.3">
      <c r="A18" t="s">
        <v>49</v>
      </c>
    </row>
    <row r="19" spans="1:1" x14ac:dyDescent="0.3">
      <c r="A19" t="s">
        <v>50</v>
      </c>
    </row>
    <row r="20" spans="1:1" x14ac:dyDescent="0.3">
      <c r="A20" t="s">
        <v>51</v>
      </c>
    </row>
    <row r="21" spans="1:1" x14ac:dyDescent="0.3">
      <c r="A21" t="s">
        <v>52</v>
      </c>
    </row>
    <row r="22" spans="1:1" x14ac:dyDescent="0.3">
      <c r="A22" t="s">
        <v>53</v>
      </c>
    </row>
    <row r="23" spans="1:1" x14ac:dyDescent="0.3">
      <c r="A23" t="s">
        <v>54</v>
      </c>
    </row>
    <row r="24" spans="1:1" x14ac:dyDescent="0.3">
      <c r="A24" t="s">
        <v>55</v>
      </c>
    </row>
    <row r="25" spans="1:1" x14ac:dyDescent="0.3">
      <c r="A25" t="s">
        <v>56</v>
      </c>
    </row>
    <row r="26" spans="1:1" x14ac:dyDescent="0.3">
      <c r="A26" t="s">
        <v>57</v>
      </c>
    </row>
    <row r="27" spans="1:1" x14ac:dyDescent="0.3">
      <c r="A27" t="s">
        <v>58</v>
      </c>
    </row>
    <row r="28" spans="1:1" x14ac:dyDescent="0.3">
      <c r="A28" t="s">
        <v>59</v>
      </c>
    </row>
    <row r="29" spans="1:1" x14ac:dyDescent="0.3">
      <c r="A29" t="s">
        <v>60</v>
      </c>
    </row>
    <row r="30" spans="1:1" x14ac:dyDescent="0.3">
      <c r="A30" t="s">
        <v>61</v>
      </c>
    </row>
    <row r="31" spans="1:1" x14ac:dyDescent="0.3">
      <c r="A31" t="s">
        <v>62</v>
      </c>
    </row>
    <row r="32" spans="1:1" x14ac:dyDescent="0.3">
      <c r="A32" t="s">
        <v>63</v>
      </c>
    </row>
    <row r="33" spans="1:1" x14ac:dyDescent="0.3">
      <c r="A33" t="s">
        <v>64</v>
      </c>
    </row>
    <row r="34" spans="1:1" x14ac:dyDescent="0.3">
      <c r="A34" t="s">
        <v>65</v>
      </c>
    </row>
    <row r="35" spans="1:1" x14ac:dyDescent="0.3">
      <c r="A35" t="s">
        <v>66</v>
      </c>
    </row>
    <row r="36" spans="1:1" x14ac:dyDescent="0.3">
      <c r="A36" t="s">
        <v>67</v>
      </c>
    </row>
    <row r="37" spans="1:1" x14ac:dyDescent="0.3">
      <c r="A37" t="s">
        <v>68</v>
      </c>
    </row>
    <row r="38" spans="1:1" x14ac:dyDescent="0.3">
      <c r="A38" t="s">
        <v>69</v>
      </c>
    </row>
    <row r="39" spans="1:1" x14ac:dyDescent="0.3">
      <c r="A39" t="s">
        <v>70</v>
      </c>
    </row>
    <row r="40" spans="1:1" x14ac:dyDescent="0.3">
      <c r="A40" t="s">
        <v>71</v>
      </c>
    </row>
    <row r="41" spans="1:1" x14ac:dyDescent="0.3">
      <c r="A41" t="s">
        <v>72</v>
      </c>
    </row>
    <row r="42" spans="1:1" x14ac:dyDescent="0.3">
      <c r="A42" t="s">
        <v>73</v>
      </c>
    </row>
    <row r="43" spans="1:1" x14ac:dyDescent="0.3">
      <c r="A43" t="s">
        <v>74</v>
      </c>
    </row>
    <row r="44" spans="1:1" x14ac:dyDescent="0.3">
      <c r="A44" t="s">
        <v>75</v>
      </c>
    </row>
    <row r="45" spans="1:1" x14ac:dyDescent="0.3">
      <c r="A45" t="s">
        <v>76</v>
      </c>
    </row>
    <row r="46" spans="1:1" x14ac:dyDescent="0.3">
      <c r="A46" t="s">
        <v>77</v>
      </c>
    </row>
    <row r="47" spans="1:1" x14ac:dyDescent="0.3">
      <c r="A47" t="s">
        <v>78</v>
      </c>
    </row>
    <row r="48" spans="1:1" x14ac:dyDescent="0.3">
      <c r="A48" t="s">
        <v>79</v>
      </c>
    </row>
    <row r="49" spans="1:1" x14ac:dyDescent="0.3">
      <c r="A49" t="s">
        <v>80</v>
      </c>
    </row>
    <row r="50" spans="1:1" x14ac:dyDescent="0.3">
      <c r="A50" t="s">
        <v>81</v>
      </c>
    </row>
    <row r="51" spans="1:1" x14ac:dyDescent="0.3">
      <c r="A51" t="s">
        <v>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Titular</vt:lpstr>
      <vt:lpstr>Informes</vt:lpstr>
      <vt:lpstr>Notas</vt:lpstr>
      <vt:lpstr>Resumo</vt:lpstr>
      <vt:lpstr>Tabela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Priscilla</dc:creator>
  <cp:lastModifiedBy>Priscilla</cp:lastModifiedBy>
  <dcterms:created xsi:type="dcterms:W3CDTF">2026-01-09T18:58:50Z</dcterms:created>
  <dcterms:modified xsi:type="dcterms:W3CDTF">2026-01-10T01:58:33Z</dcterms:modified>
</cp:coreProperties>
</file>