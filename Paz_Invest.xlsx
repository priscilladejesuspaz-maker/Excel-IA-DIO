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ok\Documents\Análise de Dados - EBAC\Excel - Dio\"/>
    </mc:Choice>
  </mc:AlternateContent>
  <xr:revisionPtr revIDLastSave="0" documentId="13_ncr:1_{86504583-D98F-4F8F-8BC4-01022224FF6D}" xr6:coauthVersionLast="47" xr6:coauthVersionMax="47" xr10:uidLastSave="{00000000-0000-0000-0000-000000000000}"/>
  <bookViews>
    <workbookView xWindow="-108" yWindow="-108" windowWidth="23256" windowHeight="12456" tabRatio="0" xr2:uid="{E5ED4EA6-82B4-4864-AB74-5690EF6E2145}"/>
  </bookViews>
  <sheets>
    <sheet name="Planilha1" sheetId="1" r:id="rId1"/>
    <sheet name="Planilha2" sheetId="2" r:id="rId2"/>
  </sheets>
  <definedNames>
    <definedName name="aporte">Planilha1!$D$20</definedName>
    <definedName name="patrimonio_acumulado">Planilha1!$D$23</definedName>
    <definedName name="quantidade_anos">Planilha1!$D$21</definedName>
    <definedName name="rendimento_carteira">Planilha1!$D$13</definedName>
    <definedName name="salario">Planilha1!$D$12</definedName>
    <definedName name="sugestao_investimento">Planilha1!$D$14</definedName>
    <definedName name="taxa_mensal">Planilha1!$D$22</definedName>
    <definedName name="valor_total">Planilha1!$D$46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5" i="1"/>
  <c r="C40" i="1"/>
  <c r="H4" i="2"/>
  <c r="B11" i="2"/>
  <c r="B21" i="2"/>
  <c r="B20" i="2"/>
  <c r="B19" i="2"/>
  <c r="B18" i="2"/>
  <c r="B17" i="2"/>
  <c r="B16" i="2"/>
  <c r="B12" i="2"/>
  <c r="B13" i="2"/>
  <c r="B14" i="2"/>
  <c r="B15" i="2"/>
  <c r="B10" i="2"/>
  <c r="B5" i="2"/>
  <c r="B6" i="2"/>
  <c r="B7" i="2"/>
  <c r="B8" i="2"/>
  <c r="B9" i="2"/>
  <c r="B4" i="2"/>
  <c r="C36" i="1"/>
  <c r="C28" i="1"/>
  <c r="D28" i="1" s="1"/>
  <c r="C29" i="1"/>
  <c r="D29" i="1" s="1"/>
  <c r="C30" i="1"/>
  <c r="D30" i="1" s="1"/>
  <c r="C31" i="1"/>
  <c r="D31" i="1" s="1"/>
  <c r="C32" i="1"/>
  <c r="D32" i="1" s="1"/>
  <c r="D14" i="1"/>
  <c r="D23" i="1"/>
  <c r="D24" i="1" s="1"/>
  <c r="D43" i="1" l="1"/>
  <c r="D40" i="1"/>
  <c r="D45" i="1"/>
  <c r="D42" i="1"/>
  <c r="D41" i="1"/>
  <c r="D44" i="1"/>
  <c r="D46" i="1" l="1"/>
</calcChain>
</file>

<file path=xl/sharedStrings.xml><?xml version="1.0" encoding="utf-8"?>
<sst xmlns="http://schemas.openxmlformats.org/spreadsheetml/2006/main" count="72" uniqueCount="37">
  <si>
    <t>Quanto investir por mês?</t>
  </si>
  <si>
    <t>Por quantos anos?</t>
  </si>
  <si>
    <t>Taxa de Rendimento mensal?</t>
  </si>
  <si>
    <t>Patrimônio acumulado?</t>
  </si>
  <si>
    <t xml:space="preserve">Dividendo Mensais? </t>
  </si>
  <si>
    <t xml:space="preserve">INVESTIMENTO MENSAL </t>
  </si>
  <si>
    <t xml:space="preserve"> </t>
  </si>
  <si>
    <t>Quanto em 2 Anos?</t>
  </si>
  <si>
    <t>Quanto em 5 Anos?</t>
  </si>
  <si>
    <t>Quanto em 10 Anos?</t>
  </si>
  <si>
    <t>Quanto em 20 Anos?</t>
  </si>
  <si>
    <t>Quanto em 30 Anos³</t>
  </si>
  <si>
    <t>CENÁRIOS</t>
  </si>
  <si>
    <t>Dividendos</t>
  </si>
  <si>
    <t xml:space="preserve">Salário </t>
  </si>
  <si>
    <t xml:space="preserve">Rendimento da Carteira </t>
  </si>
  <si>
    <t>Sugestão de Investimento</t>
  </si>
  <si>
    <t xml:space="preserve">CONFIGURAÇÕES </t>
  </si>
  <si>
    <t xml:space="preserve">VALOR A SER INVESTIDO POR MÊS </t>
  </si>
  <si>
    <t xml:space="preserve">PERFIL </t>
  </si>
  <si>
    <t>TIPO DE FII</t>
  </si>
  <si>
    <t>Percentual Sugerido</t>
  </si>
  <si>
    <t>Valores</t>
  </si>
  <si>
    <t>PAPEL</t>
  </si>
  <si>
    <t xml:space="preserve">TIJOLO </t>
  </si>
  <si>
    <t>HIBRIDOS</t>
  </si>
  <si>
    <t xml:space="preserve">DESENVOLVIMENTO </t>
  </si>
  <si>
    <t>HOTELARIAS</t>
  </si>
  <si>
    <t>FOFs</t>
  </si>
  <si>
    <t>PERFIL</t>
  </si>
  <si>
    <t>Conservador</t>
  </si>
  <si>
    <t>PERCENTUAL</t>
  </si>
  <si>
    <t>CHAVE</t>
  </si>
  <si>
    <t>Moderado</t>
  </si>
  <si>
    <t>Agressivo</t>
  </si>
  <si>
    <t xml:space="preserve">Moderado-TIJOLO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</si>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</sst>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1"/>
      <name val="Aptos Display"/>
      <family val="2"/>
      <scheme val="major"/>
    </font>
    <font>
      <sz val="13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8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9C5700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auto="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5" borderId="0" applyNumberFormat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4" fillId="5" borderId="0" xfId="2"/>
    <xf numFmtId="0" fontId="5" fillId="3" borderId="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0" fontId="9" fillId="0" borderId="7" xfId="0" applyNumberFormat="1" applyFont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8" fontId="9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8" fontId="9" fillId="4" borderId="10" xfId="0" applyNumberFormat="1" applyFont="1" applyFill="1" applyBorder="1" applyAlignment="1">
      <alignment horizontal="center"/>
    </xf>
    <xf numFmtId="0" fontId="10" fillId="0" borderId="0" xfId="0" applyFont="1"/>
    <xf numFmtId="0" fontId="8" fillId="2" borderId="14" xfId="0" applyFont="1" applyFill="1" applyBorder="1" applyAlignment="1"/>
    <xf numFmtId="0" fontId="8" fillId="2" borderId="15" xfId="0" applyFont="1" applyFill="1" applyBorder="1" applyAlignment="1"/>
    <xf numFmtId="0" fontId="8" fillId="2" borderId="16" xfId="0" applyFont="1" applyFill="1" applyBorder="1" applyAlignment="1"/>
    <xf numFmtId="0" fontId="6" fillId="4" borderId="2" xfId="0" applyFont="1" applyFill="1" applyBorder="1"/>
    <xf numFmtId="164" fontId="6" fillId="4" borderId="3" xfId="0" applyNumberFormat="1" applyFont="1" applyFill="1" applyBorder="1" applyAlignment="1">
      <alignment horizontal="center"/>
    </xf>
    <xf numFmtId="164" fontId="6" fillId="4" borderId="4" xfId="0" applyNumberFormat="1" applyFont="1" applyFill="1" applyBorder="1"/>
    <xf numFmtId="0" fontId="6" fillId="4" borderId="5" xfId="0" applyFont="1" applyFill="1" applyBorder="1"/>
    <xf numFmtId="164" fontId="6" fillId="4" borderId="6" xfId="0" applyNumberFormat="1" applyFont="1" applyFill="1" applyBorder="1" applyAlignment="1">
      <alignment horizontal="center"/>
    </xf>
    <xf numFmtId="164" fontId="6" fillId="4" borderId="7" xfId="0" applyNumberFormat="1" applyFont="1" applyFill="1" applyBorder="1"/>
    <xf numFmtId="0" fontId="6" fillId="4" borderId="8" xfId="0" applyFont="1" applyFill="1" applyBorder="1"/>
    <xf numFmtId="164" fontId="6" fillId="4" borderId="9" xfId="0" applyNumberFormat="1" applyFont="1" applyFill="1" applyBorder="1" applyAlignment="1">
      <alignment horizontal="center"/>
    </xf>
    <xf numFmtId="164" fontId="6" fillId="4" borderId="10" xfId="0" applyNumberFormat="1" applyFont="1" applyFill="1" applyBorder="1"/>
    <xf numFmtId="0" fontId="11" fillId="0" borderId="0" xfId="0" applyFont="1"/>
    <xf numFmtId="0" fontId="12" fillId="5" borderId="0" xfId="2" applyFont="1"/>
    <xf numFmtId="0" fontId="12" fillId="5" borderId="19" xfId="2" applyFont="1" applyBorder="1" applyAlignment="1">
      <alignment horizontal="left" vertical="center"/>
    </xf>
    <xf numFmtId="0" fontId="9" fillId="6" borderId="8" xfId="0" applyFont="1" applyFill="1" applyBorder="1"/>
    <xf numFmtId="164" fontId="9" fillId="6" borderId="17" xfId="0" applyNumberFormat="1" applyFont="1" applyFill="1" applyBorder="1" applyAlignment="1">
      <alignment horizontal="center" vertical="center"/>
    </xf>
    <xf numFmtId="164" fontId="9" fillId="6" borderId="18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0" xfId="0" applyBorder="1"/>
    <xf numFmtId="0" fontId="11" fillId="0" borderId="20" xfId="0" applyFont="1" applyBorder="1" applyAlignment="1">
      <alignment horizontal="center"/>
    </xf>
    <xf numFmtId="9" fontId="4" fillId="5" borderId="0" xfId="1" applyFont="1" applyFill="1"/>
    <xf numFmtId="9" fontId="11" fillId="0" borderId="0" xfId="1" applyFont="1"/>
    <xf numFmtId="9" fontId="11" fillId="0" borderId="20" xfId="1" applyFont="1" applyBorder="1"/>
    <xf numFmtId="9" fontId="11" fillId="0" borderId="0" xfId="1" applyFont="1" applyFill="1" applyBorder="1"/>
    <xf numFmtId="9" fontId="0" fillId="0" borderId="20" xfId="1" applyFont="1" applyBorder="1"/>
    <xf numFmtId="9" fontId="0" fillId="0" borderId="0" xfId="1" applyFont="1"/>
    <xf numFmtId="0" fontId="6" fillId="0" borderId="0" xfId="0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8" fontId="9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164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Border="1"/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 vertical="center"/>
    </xf>
    <xf numFmtId="9" fontId="11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center"/>
    </xf>
    <xf numFmtId="164" fontId="11" fillId="4" borderId="0" xfId="0" applyNumberFormat="1" applyFont="1" applyFill="1" applyAlignment="1">
      <alignment horizontal="center"/>
    </xf>
    <xf numFmtId="164" fontId="11" fillId="6" borderId="0" xfId="0" applyNumberFormat="1" applyFont="1" applyFill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C2-41AE-AC0F-887144F686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4C2-41AE-AC0F-887144F686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C2-41AE-AC0F-887144F686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4C2-41AE-AC0F-887144F686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C2-41AE-AC0F-887144F686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2-41AE-AC0F-887144F686A4}"/>
              </c:ext>
            </c:extLst>
          </c:dPt>
          <c:dLbls>
            <c:dLbl>
              <c:idx val="0"/>
              <c:layout>
                <c:manualLayout>
                  <c:x val="3.0576086742410045E-2"/>
                  <c:y val="-4.2364224637280348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C2-41AE-AC0F-887144F686A4}"/>
                </c:ext>
              </c:extLst>
            </c:dLbl>
            <c:dLbl>
              <c:idx val="1"/>
              <c:layout>
                <c:manualLayout>
                  <c:x val="-5.2813240736890206E-2"/>
                  <c:y val="9.243210334345840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C2-41AE-AC0F-887144F686A4}"/>
                </c:ext>
              </c:extLst>
            </c:dLbl>
            <c:dLbl>
              <c:idx val="2"/>
              <c:layout>
                <c:manualLayout>
                  <c:x val="-1.9457509745170121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C2-41AE-AC0F-887144F686A4}"/>
                </c:ext>
              </c:extLst>
            </c:dLbl>
            <c:dLbl>
              <c:idx val="3"/>
              <c:layout>
                <c:manualLayout>
                  <c:x val="-1.3898221246550118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C2-41AE-AC0F-887144F686A4}"/>
                </c:ext>
              </c:extLst>
            </c:dLbl>
            <c:dLbl>
              <c:idx val="4"/>
              <c:layout>
                <c:manualLayout>
                  <c:x val="-1.6677865495860082E-2"/>
                  <c:y val="-1.38648155015187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C2-41AE-AC0F-887144F686A4}"/>
                </c:ext>
              </c:extLst>
            </c:dLbl>
            <c:dLbl>
              <c:idx val="5"/>
              <c:layout>
                <c:manualLayout>
                  <c:x val="6.0871972418183443E-2"/>
                  <c:y val="-2.912385976022880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C2-41AE-AC0F-887144F686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Planilha1!$B$40:$B$45</c:f>
              <c:strCache>
                <c:ptCount val="6"/>
                <c:pt idx="0">
                  <c:v>PAPEL</c:v>
                </c:pt>
                <c:pt idx="1">
                  <c:v>TIJOLO 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 </c:v>
                </c:pt>
                <c:pt idx="5">
                  <c:v>HOTELARIAS</c:v>
                </c:pt>
              </c:strCache>
            </c:strRef>
          </c:cat>
          <c:val>
            <c:numRef>
              <c:f>Planilha1!$C$40:$C$45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2-41AE-AC0F-887144F686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99119</xdr:colOff>
      <xdr:row>1</xdr:row>
      <xdr:rowOff>55108</xdr:rowOff>
    </xdr:from>
    <xdr:to>
      <xdr:col>3</xdr:col>
      <xdr:colOff>2182678</xdr:colOff>
      <xdr:row>8</xdr:row>
      <xdr:rowOff>92891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A5A1F4-EBF4-AE3E-9B4E-6F607C105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1765" r="1177" b="21177"/>
        <a:stretch/>
      </xdr:blipFill>
      <xdr:spPr>
        <a:xfrm>
          <a:off x="99119" y="235922"/>
          <a:ext cx="7843762" cy="1303477"/>
        </a:xfrm>
        <a:prstGeom prst="rect">
          <a:avLst/>
        </a:prstGeom>
        <a:ln w="190500" cap="sq">
          <a:solidFill>
            <a:schemeClr val="tx2">
              <a:lumMod val="50000"/>
              <a:lumOff val="50000"/>
            </a:schemeClr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1</xdr:col>
      <xdr:colOff>1572591</xdr:colOff>
      <xdr:row>46</xdr:row>
      <xdr:rowOff>131164</xdr:rowOff>
    </xdr:from>
    <xdr:to>
      <xdr:col>3</xdr:col>
      <xdr:colOff>393492</xdr:colOff>
      <xdr:row>57</xdr:row>
      <xdr:rowOff>106181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9DF186-EF54-61CD-3822-FB9BCB987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6A83-B832-4F90-9880-3E984C5C7988}">
  <dimension ref="A11:M74"/>
  <sheetViews>
    <sheetView showGridLines="0" tabSelected="1" zoomScale="122" zoomScaleNormal="122" workbookViewId="0">
      <selection activeCell="C36" sqref="C36:D36"/>
    </sheetView>
  </sheetViews>
  <sheetFormatPr defaultColWidth="0" defaultRowHeight="14.4" x14ac:dyDescent="0.3"/>
  <cols>
    <col min="1" max="1" width="2.109375" customWidth="1"/>
    <col min="2" max="2" width="43" bestFit="1" customWidth="1"/>
    <col min="3" max="3" width="38.88671875" customWidth="1"/>
    <col min="4" max="4" width="32.77734375" customWidth="1"/>
    <col min="5" max="5" width="2.77734375" customWidth="1"/>
    <col min="6" max="6" width="22.44140625" hidden="1" customWidth="1"/>
    <col min="7" max="7" width="12.33203125" hidden="1" customWidth="1"/>
    <col min="8" max="8" width="4.5546875" hidden="1" customWidth="1"/>
    <col min="9" max="12" width="8.88671875" hidden="1" customWidth="1"/>
    <col min="13" max="13" width="0" hidden="1" customWidth="1"/>
    <col min="14" max="16384" width="8.88671875" hidden="1"/>
  </cols>
  <sheetData>
    <row r="11" spans="2:5" ht="23.4" x14ac:dyDescent="0.45">
      <c r="B11" s="5" t="s">
        <v>17</v>
      </c>
      <c r="C11" s="5"/>
      <c r="D11" s="5"/>
      <c r="E11" s="2"/>
    </row>
    <row r="12" spans="2:5" ht="17.399999999999999" x14ac:dyDescent="0.35">
      <c r="B12" s="6" t="s">
        <v>14</v>
      </c>
      <c r="C12" s="7"/>
      <c r="D12" s="8">
        <v>5000</v>
      </c>
      <c r="E12" s="2"/>
    </row>
    <row r="13" spans="2:5" ht="17.399999999999999" x14ac:dyDescent="0.35">
      <c r="B13" s="9" t="s">
        <v>15</v>
      </c>
      <c r="C13" s="10"/>
      <c r="D13" s="11">
        <v>8.9999999999999993E-3</v>
      </c>
      <c r="E13" s="2"/>
    </row>
    <row r="14" spans="2:5" ht="17.399999999999999" x14ac:dyDescent="0.35">
      <c r="B14" s="12" t="s">
        <v>16</v>
      </c>
      <c r="C14" s="13"/>
      <c r="D14" s="14">
        <f>D12*30%</f>
        <v>1500</v>
      </c>
      <c r="E14" s="2"/>
    </row>
    <row r="15" spans="2:5" ht="17.399999999999999" x14ac:dyDescent="0.35">
      <c r="B15" s="57"/>
      <c r="C15" s="57"/>
      <c r="D15" s="58"/>
      <c r="E15" s="2"/>
    </row>
    <row r="16" spans="2:5" ht="12.6" customHeight="1" x14ac:dyDescent="0.3">
      <c r="B16" s="15"/>
      <c r="C16" s="15"/>
      <c r="D16" s="15"/>
      <c r="E16" s="2"/>
    </row>
    <row r="17" spans="1:13" ht="4.2" customHeight="1" x14ac:dyDescent="0.3">
      <c r="B17" s="15"/>
      <c r="C17" s="15"/>
      <c r="D17" s="15"/>
      <c r="E17" s="2"/>
    </row>
    <row r="18" spans="1:13" ht="15.6" hidden="1" x14ac:dyDescent="0.3">
      <c r="B18" s="15"/>
      <c r="C18" s="15"/>
      <c r="D18" s="15"/>
      <c r="E18" s="2"/>
    </row>
    <row r="19" spans="1:13" ht="25.2" customHeight="1" x14ac:dyDescent="0.45">
      <c r="B19" s="16" t="s">
        <v>5</v>
      </c>
      <c r="C19" s="16"/>
      <c r="D19" s="16"/>
      <c r="E19" s="3"/>
      <c r="M19" t="s">
        <v>6</v>
      </c>
    </row>
    <row r="20" spans="1:13" ht="17.399999999999999" x14ac:dyDescent="0.35">
      <c r="B20" s="17" t="s">
        <v>0</v>
      </c>
      <c r="C20" s="18"/>
      <c r="D20" s="19">
        <v>500</v>
      </c>
      <c r="E20" s="3"/>
    </row>
    <row r="21" spans="1:13" ht="17.399999999999999" x14ac:dyDescent="0.35">
      <c r="B21" s="9" t="s">
        <v>1</v>
      </c>
      <c r="C21" s="10"/>
      <c r="D21" s="20">
        <v>5</v>
      </c>
      <c r="E21" s="3"/>
    </row>
    <row r="22" spans="1:13" ht="17.399999999999999" x14ac:dyDescent="0.35">
      <c r="B22" s="9" t="s">
        <v>2</v>
      </c>
      <c r="C22" s="10"/>
      <c r="D22" s="21">
        <v>1.0789999999999999E-2</v>
      </c>
      <c r="E22" s="3"/>
    </row>
    <row r="23" spans="1:13" ht="17.399999999999999" x14ac:dyDescent="0.35">
      <c r="B23" s="22" t="s">
        <v>3</v>
      </c>
      <c r="C23" s="23"/>
      <c r="D23" s="24">
        <f>FV(taxa_mensal,quantidade_anos*12,aporte*-1)</f>
        <v>41888.456999243819</v>
      </c>
      <c r="E23" s="3"/>
    </row>
    <row r="24" spans="1:13" ht="17.399999999999999" x14ac:dyDescent="0.35">
      <c r="B24" s="25" t="s">
        <v>4</v>
      </c>
      <c r="C24" s="26"/>
      <c r="D24" s="27">
        <f>patrimonio_acumulado*1%</f>
        <v>418.88456999243817</v>
      </c>
      <c r="E24" s="3"/>
    </row>
    <row r="25" spans="1:13" ht="17.399999999999999" x14ac:dyDescent="0.35">
      <c r="B25" s="59"/>
      <c r="C25" s="59"/>
      <c r="D25" s="60"/>
      <c r="E25" s="3"/>
    </row>
    <row r="26" spans="1:13" ht="19.8" customHeight="1" x14ac:dyDescent="0.3">
      <c r="B26" s="15"/>
      <c r="C26" s="15"/>
      <c r="D26" s="28"/>
      <c r="E26" s="2"/>
    </row>
    <row r="27" spans="1:13" ht="25.8" customHeight="1" x14ac:dyDescent="0.45">
      <c r="B27" s="29" t="s">
        <v>12</v>
      </c>
      <c r="C27" s="30"/>
      <c r="D27" s="31" t="s">
        <v>13</v>
      </c>
    </row>
    <row r="28" spans="1:13" ht="17.399999999999999" x14ac:dyDescent="0.35">
      <c r="A28" s="1">
        <v>2</v>
      </c>
      <c r="B28" s="32" t="s">
        <v>7</v>
      </c>
      <c r="C28" s="33">
        <f>FV(Planilha1!$D$22,Planilha1!A28*12,Planilha1!$D$20*-1)</f>
        <v>13613.813648822608</v>
      </c>
      <c r="D28" s="34">
        <f>C28*rendimento_carteira</f>
        <v>122.52432283940347</v>
      </c>
    </row>
    <row r="29" spans="1:13" ht="17.399999999999999" x14ac:dyDescent="0.35">
      <c r="A29" s="1">
        <v>5</v>
      </c>
      <c r="B29" s="35" t="s">
        <v>8</v>
      </c>
      <c r="C29" s="36">
        <f>FV(Planilha1!$D$22,Planilha1!A29*12,Planilha1!$D$20*-1)</f>
        <v>41888.456999243819</v>
      </c>
      <c r="D29" s="37">
        <f>C29*rendimento_carteira</f>
        <v>376.99611299319434</v>
      </c>
    </row>
    <row r="30" spans="1:13" ht="17.399999999999999" x14ac:dyDescent="0.35">
      <c r="A30" s="1">
        <v>10</v>
      </c>
      <c r="B30" s="35" t="s">
        <v>9</v>
      </c>
      <c r="C30" s="36">
        <f>FV(Planilha1!$D$22,Planilha1!A30*12,Planilha1!$D$20*-1)</f>
        <v>121642.1062650861</v>
      </c>
      <c r="D30" s="37">
        <f>C30*rendimento_carteira</f>
        <v>1094.7789563857748</v>
      </c>
    </row>
    <row r="31" spans="1:13" ht="17.399999999999999" x14ac:dyDescent="0.35">
      <c r="A31" s="1">
        <v>20</v>
      </c>
      <c r="B31" s="35" t="s">
        <v>10</v>
      </c>
      <c r="C31" s="36">
        <f>FV(Planilha1!$D$22,Planilha1!A31*12,Planilha1!$D$20*-1)</f>
        <v>562599.20004854025</v>
      </c>
      <c r="D31" s="37">
        <f>C31*rendimento_carteira</f>
        <v>5063.3928004368618</v>
      </c>
    </row>
    <row r="32" spans="1:13" ht="17.399999999999999" x14ac:dyDescent="0.35">
      <c r="A32" s="1">
        <v>30</v>
      </c>
      <c r="B32" s="38" t="s">
        <v>11</v>
      </c>
      <c r="C32" s="39">
        <f>FV(Planilha1!$D$22,Planilha1!A32*12,Planilha1!$D$20*-1)</f>
        <v>2161084.8275023573</v>
      </c>
      <c r="D32" s="40">
        <f>C32*rendimento_carteira</f>
        <v>19449.763447521214</v>
      </c>
    </row>
    <row r="33" spans="1:4" ht="17.399999999999999" x14ac:dyDescent="0.35">
      <c r="A33" s="1"/>
      <c r="B33" s="61"/>
      <c r="C33" s="62"/>
      <c r="D33" s="63"/>
    </row>
    <row r="34" spans="1:4" x14ac:dyDescent="0.3">
      <c r="B34" s="41"/>
      <c r="C34" s="41"/>
      <c r="D34" s="41"/>
    </row>
    <row r="35" spans="1:4" x14ac:dyDescent="0.3">
      <c r="B35" s="42" t="s">
        <v>19</v>
      </c>
      <c r="C35" s="43" t="s">
        <v>30</v>
      </c>
      <c r="D35" s="43"/>
    </row>
    <row r="36" spans="1:4" ht="17.399999999999999" x14ac:dyDescent="0.35">
      <c r="B36" s="44" t="s">
        <v>18</v>
      </c>
      <c r="C36" s="45">
        <f>aporte</f>
        <v>500</v>
      </c>
      <c r="D36" s="46"/>
    </row>
    <row r="37" spans="1:4" ht="22.2" customHeight="1" x14ac:dyDescent="0.35">
      <c r="B37" s="64"/>
      <c r="C37" s="65"/>
      <c r="D37" s="65"/>
    </row>
    <row r="38" spans="1:4" ht="10.199999999999999" customHeight="1" x14ac:dyDescent="0.3">
      <c r="B38" s="41"/>
      <c r="C38" s="41"/>
      <c r="D38" s="41"/>
    </row>
    <row r="39" spans="1:4" x14ac:dyDescent="0.3">
      <c r="B39" s="47" t="s">
        <v>20</v>
      </c>
      <c r="C39" s="47" t="s">
        <v>21</v>
      </c>
      <c r="D39" s="47" t="s">
        <v>22</v>
      </c>
    </row>
    <row r="40" spans="1:4" x14ac:dyDescent="0.3">
      <c r="B40" s="48" t="s">
        <v>23</v>
      </c>
      <c r="C40" s="66">
        <f>VLOOKUP($C$35&amp;"-"&amp;B40,Planilha2!$B:$E,4,FALSE)</f>
        <v>0.3</v>
      </c>
      <c r="D40" s="69">
        <f>C40*$C$36</f>
        <v>150</v>
      </c>
    </row>
    <row r="41" spans="1:4" x14ac:dyDescent="0.3">
      <c r="B41" s="48" t="s">
        <v>24</v>
      </c>
      <c r="C41" s="66">
        <f>VLOOKUP($C$35&amp;"-"&amp;B41,Planilha2!$B:$E,4,FALSE)</f>
        <v>0.5</v>
      </c>
      <c r="D41" s="69">
        <f t="shared" ref="D41:D45" si="0">C41*$C$36</f>
        <v>250</v>
      </c>
    </row>
    <row r="42" spans="1:4" x14ac:dyDescent="0.3">
      <c r="B42" s="48" t="s">
        <v>25</v>
      </c>
      <c r="C42" s="66">
        <f>VLOOKUP($C$35&amp;"-"&amp;B42,Planilha2!$B:$E,4,FALSE)</f>
        <v>0.1</v>
      </c>
      <c r="D42" s="69">
        <f t="shared" si="0"/>
        <v>50</v>
      </c>
    </row>
    <row r="43" spans="1:4" x14ac:dyDescent="0.3">
      <c r="B43" s="48" t="s">
        <v>28</v>
      </c>
      <c r="C43" s="66">
        <f>VLOOKUP($C$35&amp;"-"&amp;B43,Planilha2!$B:$E,4,FALSE)</f>
        <v>0.1</v>
      </c>
      <c r="D43" s="69">
        <f t="shared" si="0"/>
        <v>50</v>
      </c>
    </row>
    <row r="44" spans="1:4" x14ac:dyDescent="0.3">
      <c r="B44" s="48" t="s">
        <v>26</v>
      </c>
      <c r="C44" s="66">
        <f>VLOOKUP($C$35&amp;"-"&amp;B44,Planilha2!$B:$E,4,FALSE)</f>
        <v>0</v>
      </c>
      <c r="D44" s="69">
        <f t="shared" si="0"/>
        <v>0</v>
      </c>
    </row>
    <row r="45" spans="1:4" x14ac:dyDescent="0.3">
      <c r="B45" s="48" t="s">
        <v>27</v>
      </c>
      <c r="C45" s="66">
        <f>VLOOKUP($C$35&amp;"-"&amp;B45,Planilha2!$B:$E,4,FALSE)</f>
        <v>0</v>
      </c>
      <c r="D45" s="69">
        <f t="shared" si="0"/>
        <v>0</v>
      </c>
    </row>
    <row r="46" spans="1:4" x14ac:dyDescent="0.3">
      <c r="B46" s="67"/>
      <c r="C46" s="67"/>
      <c r="D46" s="68">
        <f>SUM(D40:D45)</f>
        <v>500</v>
      </c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</sheetData>
  <mergeCells count="13">
    <mergeCell ref="C36:D36"/>
    <mergeCell ref="C35:D35"/>
    <mergeCell ref="B27:C27"/>
    <mergeCell ref="B19:D19"/>
    <mergeCell ref="B21:C21"/>
    <mergeCell ref="B11:D11"/>
    <mergeCell ref="B14:C14"/>
    <mergeCell ref="B13:C13"/>
    <mergeCell ref="B12:C12"/>
    <mergeCell ref="B20:C20"/>
    <mergeCell ref="B24:C24"/>
    <mergeCell ref="B23:C23"/>
    <mergeCell ref="B22:C22"/>
  </mergeCells>
  <dataValidations count="1">
    <dataValidation type="list" allowBlank="1" showInputMessage="1" showErrorMessage="1" sqref="C35" xr:uid="{D4133270-0C39-4F7A-8F8B-62EDBD76550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089A-9A89-4F72-8493-D28D5B0C350C}">
  <dimension ref="B3:H21"/>
  <sheetViews>
    <sheetView workbookViewId="0">
      <selection activeCell="E11" sqref="E11"/>
    </sheetView>
  </sheetViews>
  <sheetFormatPr defaultRowHeight="14.4" x14ac:dyDescent="0.3"/>
  <cols>
    <col min="1" max="1" width="2.44140625" customWidth="1"/>
    <col min="2" max="2" width="29.109375" bestFit="1" customWidth="1"/>
    <col min="3" max="3" width="47.88671875" customWidth="1"/>
    <col min="4" max="4" width="19.109375" bestFit="1" customWidth="1"/>
    <col min="5" max="5" width="18.5546875" bestFit="1" customWidth="1"/>
    <col min="7" max="7" width="15.77734375" bestFit="1" customWidth="1"/>
  </cols>
  <sheetData>
    <row r="3" spans="2:8" x14ac:dyDescent="0.3">
      <c r="B3" s="47" t="s">
        <v>32</v>
      </c>
      <c r="C3" s="47" t="s">
        <v>29</v>
      </c>
      <c r="D3" s="47" t="s">
        <v>20</v>
      </c>
      <c r="E3" s="47" t="s">
        <v>31</v>
      </c>
      <c r="H3" s="47" t="s">
        <v>36</v>
      </c>
    </row>
    <row r="4" spans="2:8" x14ac:dyDescent="0.3">
      <c r="B4" t="str">
        <f>C4&amp;"-"&amp;D4</f>
        <v>Conservador-PAPEL</v>
      </c>
      <c r="C4" t="s">
        <v>30</v>
      </c>
      <c r="D4" s="48" t="s">
        <v>23</v>
      </c>
      <c r="E4" s="52">
        <v>0.3</v>
      </c>
      <c r="G4" s="4" t="s">
        <v>35</v>
      </c>
      <c r="H4" s="51">
        <f>VLOOKUP(G4,$B:$E,4,FALSE)</f>
        <v>0.4</v>
      </c>
    </row>
    <row r="5" spans="2:8" x14ac:dyDescent="0.3">
      <c r="B5" t="str">
        <f t="shared" ref="B5:B21" si="0">C5&amp;"-"&amp;D5</f>
        <v xml:space="preserve">Conservador-TIJOLO </v>
      </c>
      <c r="C5" t="s">
        <v>30</v>
      </c>
      <c r="D5" s="48" t="s">
        <v>24</v>
      </c>
      <c r="E5" s="52">
        <v>0.5</v>
      </c>
    </row>
    <row r="6" spans="2:8" x14ac:dyDescent="0.3">
      <c r="B6" t="str">
        <f t="shared" si="0"/>
        <v>Conservador-HIBRIDOS</v>
      </c>
      <c r="C6" t="s">
        <v>30</v>
      </c>
      <c r="D6" s="48" t="s">
        <v>25</v>
      </c>
      <c r="E6" s="52">
        <v>0.1</v>
      </c>
    </row>
    <row r="7" spans="2:8" x14ac:dyDescent="0.3">
      <c r="B7" t="str">
        <f t="shared" si="0"/>
        <v>Conservador-FOFs</v>
      </c>
      <c r="C7" t="s">
        <v>30</v>
      </c>
      <c r="D7" s="48" t="s">
        <v>28</v>
      </c>
      <c r="E7" s="52">
        <v>0.1</v>
      </c>
    </row>
    <row r="8" spans="2:8" x14ac:dyDescent="0.3">
      <c r="B8" t="str">
        <f t="shared" si="0"/>
        <v xml:space="preserve">Conservador-DESENVOLVIMENTO </v>
      </c>
      <c r="C8" t="s">
        <v>30</v>
      </c>
      <c r="D8" s="48" t="s">
        <v>26</v>
      </c>
      <c r="E8" s="52">
        <v>0</v>
      </c>
    </row>
    <row r="9" spans="2:8" x14ac:dyDescent="0.3">
      <c r="B9" s="49" t="str">
        <f t="shared" si="0"/>
        <v>Conservador-HOTELARIAS</v>
      </c>
      <c r="C9" s="49" t="s">
        <v>30</v>
      </c>
      <c r="D9" s="50" t="s">
        <v>27</v>
      </c>
      <c r="E9" s="53">
        <v>0</v>
      </c>
    </row>
    <row r="10" spans="2:8" x14ac:dyDescent="0.3">
      <c r="B10" t="str">
        <f t="shared" si="0"/>
        <v>Moderado-PAPEL</v>
      </c>
      <c r="C10" t="s">
        <v>33</v>
      </c>
      <c r="D10" s="48" t="s">
        <v>23</v>
      </c>
      <c r="E10" s="54">
        <v>0.31</v>
      </c>
    </row>
    <row r="11" spans="2:8" x14ac:dyDescent="0.3">
      <c r="B11" t="str">
        <f>C11&amp;"-"&amp;D11</f>
        <v xml:space="preserve">Moderado-TIJOLO </v>
      </c>
      <c r="C11" t="s">
        <v>33</v>
      </c>
      <c r="D11" s="48" t="s">
        <v>24</v>
      </c>
      <c r="E11" s="54">
        <v>0.4</v>
      </c>
    </row>
    <row r="12" spans="2:8" x14ac:dyDescent="0.3">
      <c r="B12" t="str">
        <f t="shared" si="0"/>
        <v>Moderado-HIBRIDOS</v>
      </c>
      <c r="C12" t="s">
        <v>33</v>
      </c>
      <c r="D12" s="48" t="s">
        <v>25</v>
      </c>
      <c r="E12" s="54">
        <v>0.08</v>
      </c>
    </row>
    <row r="13" spans="2:8" x14ac:dyDescent="0.3">
      <c r="B13" t="str">
        <f t="shared" si="0"/>
        <v>Moderado-FOFs</v>
      </c>
      <c r="C13" t="s">
        <v>33</v>
      </c>
      <c r="D13" s="48" t="s">
        <v>28</v>
      </c>
      <c r="E13" s="54">
        <v>0.1</v>
      </c>
    </row>
    <row r="14" spans="2:8" x14ac:dyDescent="0.3">
      <c r="B14" t="str">
        <f t="shared" si="0"/>
        <v xml:space="preserve">Moderado-DESENVOLVIMENTO </v>
      </c>
      <c r="C14" t="s">
        <v>33</v>
      </c>
      <c r="D14" s="48" t="s">
        <v>26</v>
      </c>
      <c r="E14" s="54">
        <v>0.01</v>
      </c>
    </row>
    <row r="15" spans="2:8" x14ac:dyDescent="0.3">
      <c r="B15" s="49" t="str">
        <f t="shared" si="0"/>
        <v>Moderado-HOTELARIAS</v>
      </c>
      <c r="C15" s="49" t="s">
        <v>33</v>
      </c>
      <c r="D15" s="50" t="s">
        <v>27</v>
      </c>
      <c r="E15" s="55">
        <v>0.1</v>
      </c>
    </row>
    <row r="16" spans="2:8" x14ac:dyDescent="0.3">
      <c r="B16" t="str">
        <f t="shared" si="0"/>
        <v>Agressivo-PAPEL</v>
      </c>
      <c r="C16" t="s">
        <v>34</v>
      </c>
      <c r="D16" s="48" t="s">
        <v>23</v>
      </c>
      <c r="E16" s="54">
        <v>0.5</v>
      </c>
    </row>
    <row r="17" spans="2:5" x14ac:dyDescent="0.3">
      <c r="B17" t="str">
        <f t="shared" si="0"/>
        <v xml:space="preserve">Agressivo-TIJOLO </v>
      </c>
      <c r="C17" t="s">
        <v>34</v>
      </c>
      <c r="D17" s="48" t="s">
        <v>24</v>
      </c>
      <c r="E17" s="54">
        <v>0.1</v>
      </c>
    </row>
    <row r="18" spans="2:5" x14ac:dyDescent="0.3">
      <c r="B18" t="str">
        <f t="shared" si="0"/>
        <v>Agressivo-HIBRIDOS</v>
      </c>
      <c r="C18" t="s">
        <v>34</v>
      </c>
      <c r="D18" s="48" t="s">
        <v>25</v>
      </c>
      <c r="E18" s="54">
        <v>0.05</v>
      </c>
    </row>
    <row r="19" spans="2:5" x14ac:dyDescent="0.3">
      <c r="B19" t="str">
        <f t="shared" si="0"/>
        <v>Agressivo-FOFs</v>
      </c>
      <c r="C19" t="s">
        <v>34</v>
      </c>
      <c r="D19" s="48" t="s">
        <v>28</v>
      </c>
      <c r="E19" s="54">
        <v>0.05</v>
      </c>
    </row>
    <row r="20" spans="2:5" x14ac:dyDescent="0.3">
      <c r="B20" t="str">
        <f t="shared" si="0"/>
        <v xml:space="preserve">Agressivo-DESENVOLVIMENTO </v>
      </c>
      <c r="C20" t="s">
        <v>34</v>
      </c>
      <c r="D20" s="48" t="s">
        <v>26</v>
      </c>
      <c r="E20" s="56">
        <v>0.2</v>
      </c>
    </row>
    <row r="21" spans="2:5" x14ac:dyDescent="0.3">
      <c r="B21" t="str">
        <f t="shared" si="0"/>
        <v>Agressivo-HOTELARIAS</v>
      </c>
      <c r="C21" t="s">
        <v>34</v>
      </c>
      <c r="D21" s="48" t="s">
        <v>27</v>
      </c>
      <c r="E21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patrimonio_acumulado</vt:lpstr>
      <vt:lpstr>quantidade_anos</vt:lpstr>
      <vt:lpstr>rendimento_carteira</vt:lpstr>
      <vt:lpstr>salario</vt:lpstr>
      <vt:lpstr>sugestao_investimento</vt:lpstr>
      <vt:lpstr>taxa_mensal</vt:lpstr>
      <vt:lpstr>valor_total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</dc:creator>
  <cp:lastModifiedBy>Priscilla</cp:lastModifiedBy>
  <dcterms:created xsi:type="dcterms:W3CDTF">2026-01-05T17:24:14Z</dcterms:created>
  <dcterms:modified xsi:type="dcterms:W3CDTF">2026-01-05T22:04:30Z</dcterms:modified>
</cp:coreProperties>
</file>