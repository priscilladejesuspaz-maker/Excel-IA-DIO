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ook\Documents\"/>
    </mc:Choice>
  </mc:AlternateContent>
  <xr:revisionPtr revIDLastSave="0" documentId="13_ncr:1_{B4321C4B-B386-41E5-A581-FB55A3B6ACD9}" xr6:coauthVersionLast="47" xr6:coauthVersionMax="47" xr10:uidLastSave="{00000000-0000-0000-0000-000000000000}"/>
  <bookViews>
    <workbookView xWindow="-108" yWindow="-108" windowWidth="23256" windowHeight="12456" activeTab="4" xr2:uid="{7FC3B266-622D-4A1E-900A-F2AA0B66667D}"/>
  </bookViews>
  <sheets>
    <sheet name="Base de Dados" sheetId="1" r:id="rId1"/>
    <sheet name="Tabelas" sheetId="2" r:id="rId2"/>
    <sheet name="Layout" sheetId="11" r:id="rId3"/>
    <sheet name="Estrutura" sheetId="5" r:id="rId4"/>
    <sheet name="DashBoard - Módulo 20" sheetId="3" r:id="rId5"/>
  </sheets>
  <definedNames>
    <definedName name="SegmentaçãodeDados_Ano">#N/A</definedName>
    <definedName name="SegmentaçãodeDados_Gerente">#N/A</definedName>
    <definedName name="SegmentaçãodeDados_Supervisor">#N/A</definedName>
    <definedName name="SegmentaçãodeDados_Vendedo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10" i="1"/>
  <c r="G12" i="1"/>
  <c r="G13" i="1"/>
  <c r="G19" i="1" s="1"/>
  <c r="G14" i="1"/>
  <c r="G15" i="1"/>
  <c r="G24" i="1" s="1"/>
  <c r="G30" i="1" s="1"/>
  <c r="G16" i="1"/>
  <c r="G22" i="1" s="1"/>
  <c r="G23" i="1"/>
  <c r="G29" i="1" s="1"/>
  <c r="G18" i="1"/>
  <c r="G8" i="1"/>
  <c r="G21" i="1" l="1"/>
  <c r="G27" i="1" s="1"/>
  <c r="G20" i="1"/>
  <c r="G28" i="1"/>
  <c r="G25" i="1"/>
  <c r="G31" i="1" l="1"/>
  <c r="G26" i="1"/>
</calcChain>
</file>

<file path=xl/sharedStrings.xml><?xml version="1.0" encoding="utf-8"?>
<sst xmlns="http://schemas.openxmlformats.org/spreadsheetml/2006/main" count="196" uniqueCount="40">
  <si>
    <t>Estado</t>
  </si>
  <si>
    <t>Cidade</t>
  </si>
  <si>
    <t>Gerente</t>
  </si>
  <si>
    <t>Supervisor</t>
  </si>
  <si>
    <t>Vendedor</t>
  </si>
  <si>
    <t>Ano</t>
  </si>
  <si>
    <t>Valor de Vendas</t>
  </si>
  <si>
    <t>SP</t>
  </si>
  <si>
    <t>RJ</t>
  </si>
  <si>
    <t>MG</t>
  </si>
  <si>
    <t>PR</t>
  </si>
  <si>
    <t>RS</t>
  </si>
  <si>
    <t>SC</t>
  </si>
  <si>
    <t>Niterói</t>
  </si>
  <si>
    <t>Ouro Preto</t>
  </si>
  <si>
    <t>Bauru</t>
  </si>
  <si>
    <t>Londrina</t>
  </si>
  <si>
    <t>Gramado</t>
  </si>
  <si>
    <t>Joinville</t>
  </si>
  <si>
    <t>Manoela</t>
  </si>
  <si>
    <t>Larissa</t>
  </si>
  <si>
    <t>Jéssica</t>
  </si>
  <si>
    <t>André</t>
  </si>
  <si>
    <t>João</t>
  </si>
  <si>
    <t>Paulo</t>
  </si>
  <si>
    <t>Claúdio</t>
  </si>
  <si>
    <t>Fernanda</t>
  </si>
  <si>
    <t>Beatriz</t>
  </si>
  <si>
    <t>Felipe</t>
  </si>
  <si>
    <t>Giovana</t>
  </si>
  <si>
    <t>Rótulos de Linha</t>
  </si>
  <si>
    <t>Total Geral</t>
  </si>
  <si>
    <t>Soma de Valor de Vendas</t>
  </si>
  <si>
    <t>Vendas por vendedores</t>
  </si>
  <si>
    <t>Gerente (A)</t>
  </si>
  <si>
    <t>Supervisor(D)</t>
  </si>
  <si>
    <t>Cidade(D)</t>
  </si>
  <si>
    <t xml:space="preserve">Segmentação: </t>
  </si>
  <si>
    <t xml:space="preserve">Ano </t>
  </si>
  <si>
    <t>Estado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</si>
</sst>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34" formatCode="_-&quot;R$&quot;\ * #,##0.00_-;\-&quot;R$&quot;\ * #,##0.00_-;_-&quot;R$&quot;\ * &quot;-&quot;??_-;_-@_-"/>
    </dxf>
    <dxf>
      <numFmt numFmtId="164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Modulo 20.xlsx]Tabelas!Venda por Funcionários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43368143381416"/>
          <c:y val="0.17728414005890944"/>
          <c:w val="0.89056623812675673"/>
          <c:h val="0.725841353164187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Tabelas!$A$17:$A$23</c:f>
              <c:strCache>
                <c:ptCount val="6"/>
                <c:pt idx="0">
                  <c:v>Beatriz</c:v>
                </c:pt>
                <c:pt idx="1">
                  <c:v>Felipe</c:v>
                </c:pt>
                <c:pt idx="2">
                  <c:v>Claúdio</c:v>
                </c:pt>
                <c:pt idx="3">
                  <c:v>Giovana</c:v>
                </c:pt>
                <c:pt idx="4">
                  <c:v>Paulo</c:v>
                </c:pt>
                <c:pt idx="5">
                  <c:v>Fernanda</c:v>
                </c:pt>
              </c:strCache>
            </c:strRef>
          </c:cat>
          <c:val>
            <c:numRef>
              <c:f>Tabelas!$B$17:$B$23</c:f>
              <c:numCache>
                <c:formatCode>_("R$"* #,##0.00_);_("R$"* \(#,##0.00\);_("R$"* "-"??_);_(@_)</c:formatCode>
                <c:ptCount val="6"/>
                <c:pt idx="0">
                  <c:v>43615</c:v>
                </c:pt>
                <c:pt idx="1">
                  <c:v>29200</c:v>
                </c:pt>
                <c:pt idx="2">
                  <c:v>25200</c:v>
                </c:pt>
                <c:pt idx="3">
                  <c:v>20000</c:v>
                </c:pt>
                <c:pt idx="4">
                  <c:v>19035</c:v>
                </c:pt>
                <c:pt idx="5">
                  <c:v>12925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D-426F-9970-C428124818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6256735"/>
        <c:axId val="1636252895"/>
      </c:barChart>
      <c:catAx>
        <c:axId val="163625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6252895"/>
        <c:crosses val="autoZero"/>
        <c:auto val="1"/>
        <c:lblAlgn val="ctr"/>
        <c:lblOffset val="100"/>
        <c:noMultiLvlLbl val="0"/>
      </c:catAx>
      <c:valAx>
        <c:axId val="163625289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3625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Modulo 20.xlsx]Tabelas!Supervisor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Vendas - Supervisor (por Cidade)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84175256098823"/>
          <c:y val="0.16845856270430329"/>
          <c:w val="0.76315026738478886"/>
          <c:h val="0.764285243077712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Tabelas!$A$4:$A$10</c:f>
              <c:strCache>
                <c:ptCount val="6"/>
                <c:pt idx="0">
                  <c:v>Londrina</c:v>
                </c:pt>
                <c:pt idx="1">
                  <c:v>Gramado</c:v>
                </c:pt>
                <c:pt idx="2">
                  <c:v>Niterói</c:v>
                </c:pt>
                <c:pt idx="3">
                  <c:v>Joinville</c:v>
                </c:pt>
                <c:pt idx="4">
                  <c:v>Bauru</c:v>
                </c:pt>
                <c:pt idx="5">
                  <c:v>Ouro Preto</c:v>
                </c:pt>
              </c:strCache>
            </c:strRef>
          </c:cat>
          <c:val>
            <c:numRef>
              <c:f>Tabelas!$B$4:$B$10</c:f>
              <c:numCache>
                <c:formatCode>_-[$R$-416]\ * #,##0.00_-;\-[$R$-416]\ * #,##0.00_-;_-[$R$-416]\ * "-"??_-;_-@_-</c:formatCode>
                <c:ptCount val="6"/>
                <c:pt idx="0">
                  <c:v>43615</c:v>
                </c:pt>
                <c:pt idx="1">
                  <c:v>29200</c:v>
                </c:pt>
                <c:pt idx="2">
                  <c:v>25200</c:v>
                </c:pt>
                <c:pt idx="3">
                  <c:v>20000</c:v>
                </c:pt>
                <c:pt idx="4">
                  <c:v>19035</c:v>
                </c:pt>
                <c:pt idx="5">
                  <c:v>12925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9-4D2E-8554-96203347F2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78200927"/>
        <c:axId val="1678206207"/>
      </c:barChart>
      <c:catAx>
        <c:axId val="167820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8206207"/>
        <c:crosses val="autoZero"/>
        <c:auto val="1"/>
        <c:lblAlgn val="ctr"/>
        <c:lblOffset val="100"/>
        <c:noMultiLvlLbl val="0"/>
      </c:catAx>
      <c:valAx>
        <c:axId val="1678206207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67820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Modulo 20.xlsx]Tabelas!Gerente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Vendas por Gerente, detalhadas por Estado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31737757410916"/>
          <c:y val="0.18172224007113516"/>
          <c:w val="0.73043831649914337"/>
          <c:h val="0.730494655740551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Tabelas!$B$25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Tabelas!$A$26:$A$34</c:f>
              <c:multiLvlStrCache>
                <c:ptCount val="6"/>
                <c:lvl>
                  <c:pt idx="0">
                    <c:v>PR</c:v>
                  </c:pt>
                  <c:pt idx="1">
                    <c:v>RS</c:v>
                  </c:pt>
                  <c:pt idx="2">
                    <c:v>SC</c:v>
                  </c:pt>
                  <c:pt idx="3">
                    <c:v>RJ</c:v>
                  </c:pt>
                  <c:pt idx="4">
                    <c:v>SP</c:v>
                  </c:pt>
                  <c:pt idx="5">
                    <c:v>MG</c:v>
                  </c:pt>
                </c:lvl>
                <c:lvl>
                  <c:pt idx="0">
                    <c:v>Larissa</c:v>
                  </c:pt>
                  <c:pt idx="3">
                    <c:v>Manoela</c:v>
                  </c:pt>
                </c:lvl>
              </c:multiLvlStrCache>
            </c:multiLvlStrRef>
          </c:cat>
          <c:val>
            <c:numRef>
              <c:f>Tabelas!$B$26:$B$34</c:f>
              <c:numCache>
                <c:formatCode>_("R$"* #,##0.00_);_("R$"* \(#,##0.00\);_("R$"* "-"??_);_(@_)</c:formatCode>
                <c:ptCount val="6"/>
                <c:pt idx="0">
                  <c:v>43615</c:v>
                </c:pt>
                <c:pt idx="1">
                  <c:v>29200</c:v>
                </c:pt>
                <c:pt idx="2">
                  <c:v>20000</c:v>
                </c:pt>
                <c:pt idx="3">
                  <c:v>25200</c:v>
                </c:pt>
                <c:pt idx="4">
                  <c:v>19035</c:v>
                </c:pt>
                <c:pt idx="5">
                  <c:v>12925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D-455C-9968-9A6B6A4492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37328911"/>
        <c:axId val="1637334191"/>
      </c:barChart>
      <c:catAx>
        <c:axId val="16373289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334191"/>
        <c:crosses val="autoZero"/>
        <c:auto val="1"/>
        <c:lblAlgn val="ctr"/>
        <c:lblOffset val="100"/>
        <c:noMultiLvlLbl val="0"/>
      </c:catAx>
      <c:valAx>
        <c:axId val="16373341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3732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</xdr:row>
      <xdr:rowOff>160020</xdr:rowOff>
    </xdr:from>
    <xdr:to>
      <xdr:col>2</xdr:col>
      <xdr:colOff>38100</xdr:colOff>
      <xdr:row>28</xdr:row>
      <xdr:rowOff>83820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65CDC5B-A6F8-0D06-23DA-F713B18B1C4C}"/>
            </a:ext>
          </a:extLst>
        </xdr:cNvPr>
        <xdr:cNvSpPr/>
      </xdr:nvSpPr>
      <xdr:spPr>
        <a:xfrm>
          <a:off x="91440" y="525780"/>
          <a:ext cx="1165860" cy="4678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53340</xdr:colOff>
      <xdr:row>3</xdr:row>
      <xdr:rowOff>38100</xdr:rowOff>
    </xdr:from>
    <xdr:to>
      <xdr:col>8</xdr:col>
      <xdr:colOff>167640</xdr:colOff>
      <xdr:row>16</xdr:row>
      <xdr:rowOff>38100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422247E-D27B-423B-A598-49AC33472BAE}"/>
            </a:ext>
          </a:extLst>
        </xdr:cNvPr>
        <xdr:cNvSpPr/>
      </xdr:nvSpPr>
      <xdr:spPr>
        <a:xfrm>
          <a:off x="1272540" y="220980"/>
          <a:ext cx="3771900" cy="2377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Total por vendedores</a:t>
          </a:r>
        </a:p>
      </xdr:txBody>
    </xdr:sp>
    <xdr:clientData/>
  </xdr:twoCellAnchor>
  <xdr:twoCellAnchor>
    <xdr:from>
      <xdr:col>8</xdr:col>
      <xdr:colOff>236220</xdr:colOff>
      <xdr:row>3</xdr:row>
      <xdr:rowOff>38100</xdr:rowOff>
    </xdr:from>
    <xdr:to>
      <xdr:col>14</xdr:col>
      <xdr:colOff>274320</xdr:colOff>
      <xdr:row>16</xdr:row>
      <xdr:rowOff>53340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007379F-B8F3-4CD7-BF43-4765A3575865}"/>
            </a:ext>
          </a:extLst>
        </xdr:cNvPr>
        <xdr:cNvSpPr/>
      </xdr:nvSpPr>
      <xdr:spPr>
        <a:xfrm>
          <a:off x="5113020" y="220980"/>
          <a:ext cx="3695700" cy="2392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Total por supervisor</a:t>
          </a:r>
        </a:p>
      </xdr:txBody>
    </xdr:sp>
    <xdr:clientData/>
  </xdr:twoCellAnchor>
  <xdr:twoCellAnchor>
    <xdr:from>
      <xdr:col>2</xdr:col>
      <xdr:colOff>60960</xdr:colOff>
      <xdr:row>16</xdr:row>
      <xdr:rowOff>114300</xdr:rowOff>
    </xdr:from>
    <xdr:to>
      <xdr:col>14</xdr:col>
      <xdr:colOff>297180</xdr:colOff>
      <xdr:row>28</xdr:row>
      <xdr:rowOff>22860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DA804EC-4A3F-4B8B-8AEA-470A2C391011}"/>
            </a:ext>
          </a:extLst>
        </xdr:cNvPr>
        <xdr:cNvSpPr/>
      </xdr:nvSpPr>
      <xdr:spPr>
        <a:xfrm>
          <a:off x="1280160" y="3040380"/>
          <a:ext cx="7551420" cy="21031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Total de vendas por gerente</a:t>
          </a:r>
        </a:p>
      </xdr:txBody>
    </xdr:sp>
    <xdr:clientData/>
  </xdr:twoCellAnchor>
  <xdr:twoCellAnchor>
    <xdr:from>
      <xdr:col>0</xdr:col>
      <xdr:colOff>129540</xdr:colOff>
      <xdr:row>3</xdr:row>
      <xdr:rowOff>144780</xdr:rowOff>
    </xdr:from>
    <xdr:to>
      <xdr:col>1</xdr:col>
      <xdr:colOff>594360</xdr:colOff>
      <xdr:row>9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29A7112-4E26-A1B5-E4D8-D73E5FF18104}"/>
            </a:ext>
          </a:extLst>
        </xdr:cNvPr>
        <xdr:cNvSpPr/>
      </xdr:nvSpPr>
      <xdr:spPr>
        <a:xfrm>
          <a:off x="129540" y="693420"/>
          <a:ext cx="1074420" cy="1028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Ano</a:t>
          </a:r>
        </a:p>
      </xdr:txBody>
    </xdr:sp>
    <xdr:clientData/>
  </xdr:twoCellAnchor>
  <xdr:twoCellAnchor>
    <xdr:from>
      <xdr:col>0</xdr:col>
      <xdr:colOff>121920</xdr:colOff>
      <xdr:row>9</xdr:row>
      <xdr:rowOff>160020</xdr:rowOff>
    </xdr:from>
    <xdr:to>
      <xdr:col>1</xdr:col>
      <xdr:colOff>586740</xdr:colOff>
      <xdr:row>15</xdr:row>
      <xdr:rowOff>91440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B8BACB1-A9D6-45DA-A196-84D89CFDD199}"/>
            </a:ext>
          </a:extLst>
        </xdr:cNvPr>
        <xdr:cNvSpPr/>
      </xdr:nvSpPr>
      <xdr:spPr>
        <a:xfrm>
          <a:off x="121920" y="1805940"/>
          <a:ext cx="1074420" cy="1028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Supervisor</a:t>
          </a:r>
        </a:p>
      </xdr:txBody>
    </xdr:sp>
    <xdr:clientData/>
  </xdr:twoCellAnchor>
  <xdr:twoCellAnchor>
    <xdr:from>
      <xdr:col>0</xdr:col>
      <xdr:colOff>121920</xdr:colOff>
      <xdr:row>15</xdr:row>
      <xdr:rowOff>152400</xdr:rowOff>
    </xdr:from>
    <xdr:to>
      <xdr:col>1</xdr:col>
      <xdr:colOff>586740</xdr:colOff>
      <xdr:row>21</xdr:row>
      <xdr:rowOff>83820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BE7E427-250C-48D3-A5B5-0DC147B95C9F}"/>
            </a:ext>
          </a:extLst>
        </xdr:cNvPr>
        <xdr:cNvSpPr/>
      </xdr:nvSpPr>
      <xdr:spPr>
        <a:xfrm>
          <a:off x="121920" y="2895600"/>
          <a:ext cx="1074420" cy="1028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Vendedor</a:t>
          </a:r>
        </a:p>
      </xdr:txBody>
    </xdr:sp>
    <xdr:clientData/>
  </xdr:twoCellAnchor>
  <xdr:twoCellAnchor>
    <xdr:from>
      <xdr:col>0</xdr:col>
      <xdr:colOff>121920</xdr:colOff>
      <xdr:row>21</xdr:row>
      <xdr:rowOff>137160</xdr:rowOff>
    </xdr:from>
    <xdr:to>
      <xdr:col>1</xdr:col>
      <xdr:colOff>586740</xdr:colOff>
      <xdr:row>27</xdr:row>
      <xdr:rowOff>68580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5C054C5-5065-41DD-8169-A987B0D7D0BD}"/>
            </a:ext>
          </a:extLst>
        </xdr:cNvPr>
        <xdr:cNvSpPr/>
      </xdr:nvSpPr>
      <xdr:spPr>
        <a:xfrm>
          <a:off x="121920" y="3977640"/>
          <a:ext cx="1074420" cy="1028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Gererente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79169</xdr:colOff>
      <xdr:row>4</xdr:row>
      <xdr:rowOff>116281</xdr:rowOff>
    </xdr:from>
    <xdr:to>
      <xdr:col>14</xdr:col>
      <xdr:colOff>95249</xdr:colOff>
      <xdr:row>21</xdr:row>
      <xdr:rowOff>61850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4E7E11F-65AE-4DD1-8F10-2A7290C42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136073</xdr:colOff>
      <xdr:row>10</xdr:row>
      <xdr:rowOff>11134</xdr:rowOff>
    </xdr:from>
    <xdr:to>
      <xdr:col>3</xdr:col>
      <xdr:colOff>364674</xdr:colOff>
      <xdr:row>15</xdr:row>
      <xdr:rowOff>76447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Gerente">
              <a:extLst>
                <a:ext uri="{FF2B5EF4-FFF2-40B4-BE49-F238E27FC236}">
                  <a16:creationId xmlns:a16="http://schemas.microsoft.com/office/drawing/2014/main" id="{39B224E2-3260-4E85-8ABF-82F030D622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r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3" y="1843792"/>
              <a:ext cx="2051614" cy="981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136073</xdr:colOff>
      <xdr:row>5</xdr:row>
      <xdr:rowOff>27215</xdr:rowOff>
    </xdr:from>
    <xdr:to>
      <xdr:col>3</xdr:col>
      <xdr:colOff>381001</xdr:colOff>
      <xdr:row>9</xdr:row>
      <xdr:rowOff>68036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no 1">
              <a:extLst>
                <a:ext uri="{FF2B5EF4-FFF2-40B4-BE49-F238E27FC236}">
                  <a16:creationId xmlns:a16="http://schemas.microsoft.com/office/drawing/2014/main" id="{DBED78C4-1E2F-4C4F-9B01-8508A11B34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3" y="943544"/>
              <a:ext cx="2067941" cy="7738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136073</xdr:colOff>
      <xdr:row>16</xdr:row>
      <xdr:rowOff>29564</xdr:rowOff>
    </xdr:from>
    <xdr:to>
      <xdr:col>3</xdr:col>
      <xdr:colOff>351067</xdr:colOff>
      <xdr:row>27</xdr:row>
      <xdr:rowOff>137020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Vendedor 1">
              <a:extLst>
                <a:ext uri="{FF2B5EF4-FFF2-40B4-BE49-F238E27FC236}">
                  <a16:creationId xmlns:a16="http://schemas.microsoft.com/office/drawing/2014/main" id="{2D84FBDB-A328-4778-84F0-013F7A28ED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3" y="2961817"/>
              <a:ext cx="2038007" cy="2123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136073</xdr:colOff>
      <xdr:row>28</xdr:row>
      <xdr:rowOff>90137</xdr:rowOff>
    </xdr:from>
    <xdr:to>
      <xdr:col>3</xdr:col>
      <xdr:colOff>373580</xdr:colOff>
      <xdr:row>35</xdr:row>
      <xdr:rowOff>108858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Supervisor">
              <a:extLst>
                <a:ext uri="{FF2B5EF4-FFF2-40B4-BE49-F238E27FC236}">
                  <a16:creationId xmlns:a16="http://schemas.microsoft.com/office/drawing/2014/main" id="{9569C88D-E7BA-454A-A15B-2B22A9B0C2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3" y="5221580"/>
              <a:ext cx="2060520" cy="13015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279069</xdr:colOff>
      <xdr:row>4</xdr:row>
      <xdr:rowOff>36876</xdr:rowOff>
    </xdr:from>
    <xdr:to>
      <xdr:col>24</xdr:col>
      <xdr:colOff>108857</xdr:colOff>
      <xdr:row>22</xdr:row>
      <xdr:rowOff>114806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2A615F2B-6446-4866-9FA6-3C94D0762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383471</xdr:colOff>
      <xdr:row>22</xdr:row>
      <xdr:rowOff>149678</xdr:rowOff>
    </xdr:from>
    <xdr:to>
      <xdr:col>19</xdr:col>
      <xdr:colOff>476249</xdr:colOff>
      <xdr:row>41</xdr:row>
      <xdr:rowOff>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CB7F94B-8D32-4A87-97B0-D9E7EBC66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311897</xdr:colOff>
      <xdr:row>0</xdr:row>
      <xdr:rowOff>38582</xdr:rowOff>
    </xdr:from>
    <xdr:ext cx="5067093" cy="468013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5685CF6-B32A-867B-7A83-7225324C5074}"/>
            </a:ext>
          </a:extLst>
        </xdr:cNvPr>
        <xdr:cNvSpPr/>
      </xdr:nvSpPr>
      <xdr:spPr>
        <a:xfrm>
          <a:off x="6388606" y="38582"/>
          <a:ext cx="506709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Dashboard de </a:t>
          </a:r>
          <a:r>
            <a:rPr lang="pt-B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Vendas</a:t>
          </a:r>
          <a:r>
            <a:rPr lang="pt-BR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 - Empresa XPTO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la" refreshedDate="46003.936314467595" createdVersion="8" refreshedVersion="8" minRefreshableVersion="3" recordCount="30" xr:uid="{25DB21A2-01B9-43E3-AFA6-8A089E1EC853}">
  <cacheSource type="worksheet">
    <worksheetSource ref="A1:G31" sheet="Base de Dados"/>
  </cacheSource>
  <cacheFields count="7">
    <cacheField name="Ano" numFmtId="0">
      <sharedItems containsSemiMixedTypes="0" containsString="0" containsNumber="1" containsInteger="1" minValue="2022" maxValue="2023" count="2">
        <n v="2022"/>
        <n v="2023"/>
      </sharedItems>
    </cacheField>
    <cacheField name="Estado" numFmtId="0">
      <sharedItems count="6">
        <s v="SP"/>
        <s v="RJ"/>
        <s v="MG"/>
        <s v="PR"/>
        <s v="RS"/>
        <s v="SC"/>
      </sharedItems>
    </cacheField>
    <cacheField name="Cidade" numFmtId="0">
      <sharedItems count="6">
        <s v="Bauru"/>
        <s v="Niterói"/>
        <s v="Ouro Preto"/>
        <s v="Londrina"/>
        <s v="Gramado"/>
        <s v="Joinville"/>
      </sharedItems>
    </cacheField>
    <cacheField name="Gerente" numFmtId="0">
      <sharedItems count="2">
        <s v="Manoela"/>
        <s v="Larissa"/>
      </sharedItems>
    </cacheField>
    <cacheField name="Supervisor" numFmtId="0">
      <sharedItems count="3">
        <s v="Jéssica"/>
        <s v="André"/>
        <s v="João"/>
      </sharedItems>
    </cacheField>
    <cacheField name="Vendedor" numFmtId="0">
      <sharedItems count="6">
        <s v="Paulo"/>
        <s v="Claúdio"/>
        <s v="Fernanda"/>
        <s v="Beatriz"/>
        <s v="Felipe"/>
        <s v="Giovana"/>
      </sharedItems>
    </cacheField>
    <cacheField name="Valor de Vendas" numFmtId="44">
      <sharedItems containsSemiMixedTypes="0" containsString="0" containsNumber="1" containsInteger="1" minValue="2345" maxValue="12345" count="30">
        <n v="3567"/>
        <n v="4800"/>
        <n v="2345"/>
        <n v="12345"/>
        <n v="5600"/>
        <n v="3760"/>
        <n v="3687"/>
        <n v="4920"/>
        <n v="2465"/>
        <n v="8560"/>
        <n v="5720"/>
        <n v="3880"/>
        <n v="3807"/>
        <n v="5040"/>
        <n v="2585"/>
        <n v="7450"/>
        <n v="5840"/>
        <n v="4000"/>
        <n v="3927"/>
        <n v="5160"/>
        <n v="2705"/>
        <n v="7570"/>
        <n v="5960"/>
        <n v="4120"/>
        <n v="4047"/>
        <n v="5280"/>
        <n v="2825"/>
        <n v="7690"/>
        <n v="6080"/>
        <n v="4240"/>
      </sharedItems>
    </cacheField>
  </cacheFields>
  <extLst>
    <ext xmlns:x14="http://schemas.microsoft.com/office/spreadsheetml/2009/9/main" uri="{725AE2AE-9491-48be-B2B4-4EB974FC3084}">
      <x14:pivotCacheDefinition pivotCacheId="11217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  <x v="0"/>
    <x v="0"/>
  </r>
  <r>
    <x v="0"/>
    <x v="1"/>
    <x v="1"/>
    <x v="0"/>
    <x v="1"/>
    <x v="1"/>
    <x v="1"/>
  </r>
  <r>
    <x v="0"/>
    <x v="2"/>
    <x v="2"/>
    <x v="0"/>
    <x v="1"/>
    <x v="2"/>
    <x v="2"/>
  </r>
  <r>
    <x v="0"/>
    <x v="3"/>
    <x v="3"/>
    <x v="1"/>
    <x v="0"/>
    <x v="3"/>
    <x v="3"/>
  </r>
  <r>
    <x v="0"/>
    <x v="4"/>
    <x v="4"/>
    <x v="1"/>
    <x v="2"/>
    <x v="4"/>
    <x v="4"/>
  </r>
  <r>
    <x v="0"/>
    <x v="5"/>
    <x v="5"/>
    <x v="1"/>
    <x v="2"/>
    <x v="5"/>
    <x v="5"/>
  </r>
  <r>
    <x v="0"/>
    <x v="0"/>
    <x v="0"/>
    <x v="0"/>
    <x v="0"/>
    <x v="0"/>
    <x v="6"/>
  </r>
  <r>
    <x v="0"/>
    <x v="1"/>
    <x v="1"/>
    <x v="0"/>
    <x v="1"/>
    <x v="1"/>
    <x v="7"/>
  </r>
  <r>
    <x v="0"/>
    <x v="2"/>
    <x v="2"/>
    <x v="0"/>
    <x v="1"/>
    <x v="2"/>
    <x v="8"/>
  </r>
  <r>
    <x v="0"/>
    <x v="3"/>
    <x v="3"/>
    <x v="1"/>
    <x v="0"/>
    <x v="3"/>
    <x v="9"/>
  </r>
  <r>
    <x v="0"/>
    <x v="4"/>
    <x v="4"/>
    <x v="1"/>
    <x v="2"/>
    <x v="4"/>
    <x v="10"/>
  </r>
  <r>
    <x v="0"/>
    <x v="5"/>
    <x v="5"/>
    <x v="1"/>
    <x v="2"/>
    <x v="5"/>
    <x v="11"/>
  </r>
  <r>
    <x v="0"/>
    <x v="0"/>
    <x v="0"/>
    <x v="0"/>
    <x v="0"/>
    <x v="0"/>
    <x v="12"/>
  </r>
  <r>
    <x v="0"/>
    <x v="1"/>
    <x v="1"/>
    <x v="0"/>
    <x v="1"/>
    <x v="1"/>
    <x v="13"/>
  </r>
  <r>
    <x v="1"/>
    <x v="2"/>
    <x v="2"/>
    <x v="0"/>
    <x v="1"/>
    <x v="2"/>
    <x v="14"/>
  </r>
  <r>
    <x v="1"/>
    <x v="3"/>
    <x v="3"/>
    <x v="1"/>
    <x v="0"/>
    <x v="3"/>
    <x v="15"/>
  </r>
  <r>
    <x v="1"/>
    <x v="4"/>
    <x v="4"/>
    <x v="1"/>
    <x v="2"/>
    <x v="4"/>
    <x v="16"/>
  </r>
  <r>
    <x v="1"/>
    <x v="5"/>
    <x v="5"/>
    <x v="1"/>
    <x v="2"/>
    <x v="5"/>
    <x v="17"/>
  </r>
  <r>
    <x v="1"/>
    <x v="0"/>
    <x v="0"/>
    <x v="0"/>
    <x v="0"/>
    <x v="0"/>
    <x v="18"/>
  </r>
  <r>
    <x v="1"/>
    <x v="1"/>
    <x v="1"/>
    <x v="0"/>
    <x v="1"/>
    <x v="1"/>
    <x v="19"/>
  </r>
  <r>
    <x v="1"/>
    <x v="2"/>
    <x v="2"/>
    <x v="0"/>
    <x v="1"/>
    <x v="2"/>
    <x v="20"/>
  </r>
  <r>
    <x v="1"/>
    <x v="3"/>
    <x v="3"/>
    <x v="1"/>
    <x v="0"/>
    <x v="3"/>
    <x v="21"/>
  </r>
  <r>
    <x v="1"/>
    <x v="4"/>
    <x v="4"/>
    <x v="1"/>
    <x v="2"/>
    <x v="4"/>
    <x v="22"/>
  </r>
  <r>
    <x v="1"/>
    <x v="5"/>
    <x v="5"/>
    <x v="1"/>
    <x v="2"/>
    <x v="5"/>
    <x v="23"/>
  </r>
  <r>
    <x v="1"/>
    <x v="0"/>
    <x v="0"/>
    <x v="0"/>
    <x v="0"/>
    <x v="0"/>
    <x v="24"/>
  </r>
  <r>
    <x v="1"/>
    <x v="1"/>
    <x v="1"/>
    <x v="0"/>
    <x v="1"/>
    <x v="1"/>
    <x v="25"/>
  </r>
  <r>
    <x v="1"/>
    <x v="2"/>
    <x v="2"/>
    <x v="0"/>
    <x v="1"/>
    <x v="2"/>
    <x v="26"/>
  </r>
  <r>
    <x v="1"/>
    <x v="3"/>
    <x v="3"/>
    <x v="1"/>
    <x v="0"/>
    <x v="3"/>
    <x v="27"/>
  </r>
  <r>
    <x v="1"/>
    <x v="4"/>
    <x v="4"/>
    <x v="1"/>
    <x v="2"/>
    <x v="4"/>
    <x v="28"/>
  </r>
  <r>
    <x v="1"/>
    <x v="5"/>
    <x v="5"/>
    <x v="1"/>
    <x v="2"/>
    <x v="5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71143-BE8B-475F-81CF-87BFAC943E2D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2:G29" firstHeaderRow="1" firstDataRow="1" firstDataCol="0"/>
  <pivotFields count="7">
    <pivotField showAll="0"/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numFmtId="4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32F52-9357-461A-83E1-1A05A413892D}" name="Venda por Funcionári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A16:B23" firstHeaderRow="1" firstDataRow="1" firstDataCol="1"/>
  <pivotFields count="7">
    <pivotField showAll="0">
      <items count="3">
        <item x="0"/>
        <item x="1"/>
        <item t="default"/>
      </items>
    </pivotField>
    <pivotField showAll="0">
      <items count="7">
        <item x="2"/>
        <item x="3"/>
        <item x="1"/>
        <item x="4"/>
        <item x="5"/>
        <item x="0"/>
        <item t="default"/>
      </items>
    </pivotField>
    <pivotField showAll="0">
      <items count="7">
        <item x="0"/>
        <item x="4"/>
        <item x="5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 sortType="descending">
      <items count="7">
        <item x="3"/>
        <item x="1"/>
        <item x="4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>
      <items count="31">
        <item x="2"/>
        <item x="8"/>
        <item x="14"/>
        <item x="20"/>
        <item x="26"/>
        <item x="0"/>
        <item x="6"/>
        <item x="5"/>
        <item x="12"/>
        <item x="11"/>
        <item x="18"/>
        <item x="17"/>
        <item x="24"/>
        <item x="23"/>
        <item x="29"/>
        <item x="1"/>
        <item x="7"/>
        <item x="13"/>
        <item x="19"/>
        <item x="25"/>
        <item x="4"/>
        <item x="10"/>
        <item x="16"/>
        <item x="22"/>
        <item x="28"/>
        <item x="15"/>
        <item x="21"/>
        <item x="27"/>
        <item x="9"/>
        <item x="3"/>
        <item t="default"/>
      </items>
    </pivotField>
  </pivotFields>
  <rowFields count="1">
    <field x="5"/>
  </rowFields>
  <rowItems count="7">
    <i>
      <x/>
    </i>
    <i>
      <x v="2"/>
    </i>
    <i>
      <x v="1"/>
    </i>
    <i>
      <x v="4"/>
    </i>
    <i>
      <x v="5"/>
    </i>
    <i>
      <x v="3"/>
    </i>
    <i t="grand">
      <x/>
    </i>
  </rowItems>
  <colItems count="1">
    <i/>
  </colItems>
  <dataFields count="1">
    <dataField name="Soma de Valor de Vendas" fld="6" baseField="0" baseItem="0" numFmtId="44"/>
  </dataFields>
  <formats count="1"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C49BA-E7DE-4B56-943E-97D6D61147D6}" name="Superviso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A3:B10" firstHeaderRow="1" firstDataRow="1" firstDataCol="1"/>
  <pivotFields count="7">
    <pivotField showAll="0">
      <items count="3">
        <item x="0"/>
        <item x="1"/>
        <item t="default"/>
      </items>
    </pivotField>
    <pivotField showAll="0">
      <items count="7">
        <item x="2"/>
        <item x="3"/>
        <item x="1"/>
        <item x="4"/>
        <item x="5"/>
        <item x="0"/>
        <item t="default"/>
      </items>
    </pivotField>
    <pivotField axis="axisRow" showAll="0" sortType="descending">
      <items count="7">
        <item x="0"/>
        <item x="4"/>
        <item x="5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>
      <items count="31">
        <item x="2"/>
        <item x="8"/>
        <item x="14"/>
        <item x="20"/>
        <item x="26"/>
        <item x="0"/>
        <item x="6"/>
        <item x="5"/>
        <item x="12"/>
        <item x="11"/>
        <item x="18"/>
        <item x="17"/>
        <item x="24"/>
        <item x="23"/>
        <item x="29"/>
        <item x="1"/>
        <item x="7"/>
        <item x="13"/>
        <item x="19"/>
        <item x="25"/>
        <item x="4"/>
        <item x="10"/>
        <item x="16"/>
        <item x="22"/>
        <item x="28"/>
        <item x="15"/>
        <item x="21"/>
        <item x="27"/>
        <item x="9"/>
        <item x="3"/>
        <item t="default"/>
      </items>
    </pivotField>
  </pivotFields>
  <rowFields count="1">
    <field x="2"/>
  </rowFields>
  <rowItems count="7">
    <i>
      <x v="3"/>
    </i>
    <i>
      <x v="1"/>
    </i>
    <i>
      <x v="4"/>
    </i>
    <i>
      <x v="2"/>
    </i>
    <i>
      <x/>
    </i>
    <i>
      <x v="5"/>
    </i>
    <i t="grand">
      <x/>
    </i>
  </rowItems>
  <colItems count="1">
    <i/>
  </colItems>
  <dataFields count="1">
    <dataField name="Soma de Valor de Vendas" fld="6" baseField="0" baseItem="0" numFmtId="164"/>
  </dataFields>
  <formats count="1">
    <format dxfId="1">
      <pivotArea outline="0" collapsedLevelsAreSubtotals="1" fieldPosition="0"/>
    </format>
  </format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1276E-7E2A-4BB4-9D69-0E88B6A81D96}" name="Gerent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A25:B34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 sortType="descending">
      <items count="7">
        <item x="2"/>
        <item x="3"/>
        <item x="1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4"/>
        <item x="5"/>
        <item x="3"/>
        <item x="1"/>
        <item x="2"/>
        <item t="default"/>
      </items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1"/>
        <item x="4"/>
        <item x="2"/>
        <item x="5"/>
        <item x="0"/>
        <item t="default"/>
      </items>
    </pivotField>
    <pivotField dataField="1" numFmtId="44" showAll="0">
      <items count="31">
        <item x="2"/>
        <item x="8"/>
        <item x="14"/>
        <item x="20"/>
        <item x="26"/>
        <item x="0"/>
        <item x="6"/>
        <item x="5"/>
        <item x="12"/>
        <item x="11"/>
        <item x="18"/>
        <item x="17"/>
        <item x="24"/>
        <item x="23"/>
        <item x="29"/>
        <item x="1"/>
        <item x="7"/>
        <item x="13"/>
        <item x="19"/>
        <item x="25"/>
        <item x="4"/>
        <item x="10"/>
        <item x="16"/>
        <item x="22"/>
        <item x="28"/>
        <item x="15"/>
        <item x="21"/>
        <item x="27"/>
        <item x="9"/>
        <item x="3"/>
        <item t="default"/>
      </items>
    </pivotField>
  </pivotFields>
  <rowFields count="2">
    <field x="3"/>
    <field x="1"/>
  </rowFields>
  <rowItems count="9">
    <i>
      <x/>
    </i>
    <i r="1">
      <x v="1"/>
    </i>
    <i r="1">
      <x v="3"/>
    </i>
    <i r="1">
      <x v="4"/>
    </i>
    <i>
      <x v="1"/>
    </i>
    <i r="1">
      <x v="2"/>
    </i>
    <i r="1">
      <x v="5"/>
    </i>
    <i r="1">
      <x/>
    </i>
    <i t="grand">
      <x/>
    </i>
  </rowItems>
  <colItems count="1">
    <i/>
  </colItems>
  <dataFields count="1">
    <dataField name="Soma de Valor de Vendas" fld="6" baseField="0" baseItem="0" numFmtId="44"/>
  </dataFields>
  <formats count="1">
    <format dxfId="2">
      <pivotArea outline="0" collapsedLevelsAreSubtotals="1" fieldPosition="0"/>
    </format>
  </format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C6DFE376-CFD1-4A14-A8E7-CDF34A2C150C}" sourceName="Ano">
  <pivotTables>
    <pivotTable tabId="2" name="Venda por Funcionários"/>
    <pivotTable tabId="2" name="Gerente"/>
    <pivotTable tabId="2" name="Supervisor"/>
  </pivotTables>
  <data>
    <tabular pivotCacheId="112171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1F5FB9E7-B231-436D-8459-1746D02E1CF2}" sourceName="Vendedor">
  <pivotTables>
    <pivotTable tabId="2" name="Venda por Funcionários"/>
    <pivotTable tabId="2" name="Gerente"/>
    <pivotTable tabId="2" name="Supervisor"/>
  </pivotTables>
  <data>
    <tabular pivotCacheId="1121715">
      <items count="6">
        <i x="3" s="1"/>
        <i x="1" s="1"/>
        <i x="4" s="1"/>
        <i x="2" s="1"/>
        <i x="5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rente" xr10:uid="{E6D16485-85E1-4A01-91DE-05715434B964}" sourceName="Gerente">
  <pivotTables>
    <pivotTable tabId="2" name="Supervisor"/>
    <pivotTable tabId="2" name="Gerente"/>
    <pivotTable tabId="2" name="Venda por Funcionários"/>
  </pivotTables>
  <data>
    <tabular pivotCacheId="1121715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" xr10:uid="{CA9D1CF3-F753-4C83-8CA2-03BE6D0E1E83}" sourceName="Supervisor">
  <pivotTables>
    <pivotTable tabId="2" name="Gerente"/>
  </pivotTables>
  <data>
    <tabular pivotCacheId="112171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6FA02BEE-60F5-4E08-896A-AA08E12BDC44}" cache="SegmentaçãodeDados_Ano" caption="Ano" columnCount="2" style="SlicerStyleDark1" rowHeight="247650"/>
  <slicer name="Vendedor 1" xr10:uid="{BCBAFF03-6BFA-4D9D-96D1-BECDDDCD4550}" cache="SegmentaçãodeDados_Vendedor" caption="Vendedor" style="SlicerStyleDark1" rowHeight="247650"/>
  <slicer name="Gerente" xr10:uid="{B7EF834D-9246-4D1C-88C8-AE36F74E8905}" cache="SegmentaçãodeDados_Gerente" caption="Gerente" style="SlicerStyleDark1" rowHeight="247650"/>
  <slicer name="Supervisor" xr10:uid="{10A01FF4-F342-4F05-A483-8FF83336FEEA}" cache="SegmentaçãodeDados_Supervisor" caption="Supervisor" style="SlicerStyleDark1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4378-8905-4DF3-AFD8-99C331748240}">
  <dimension ref="A1:G31"/>
  <sheetViews>
    <sheetView workbookViewId="0">
      <selection activeCell="I19" sqref="I19"/>
    </sheetView>
  </sheetViews>
  <sheetFormatPr defaultRowHeight="14.4" x14ac:dyDescent="0.3"/>
  <cols>
    <col min="1" max="3" width="17.6640625" customWidth="1"/>
    <col min="4" max="4" width="15.5546875" customWidth="1"/>
    <col min="5" max="6" width="17.6640625" customWidth="1"/>
    <col min="7" max="7" width="19.6640625" customWidth="1"/>
  </cols>
  <sheetData>
    <row r="1" spans="1:7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3">
      <c r="A2">
        <v>2022</v>
      </c>
      <c r="B2" t="s">
        <v>7</v>
      </c>
      <c r="C2" t="s">
        <v>15</v>
      </c>
      <c r="D2" t="s">
        <v>19</v>
      </c>
      <c r="E2" t="s">
        <v>21</v>
      </c>
      <c r="F2" t="s">
        <v>24</v>
      </c>
      <c r="G2">
        <v>3567</v>
      </c>
    </row>
    <row r="3" spans="1:7" x14ac:dyDescent="0.3">
      <c r="A3">
        <v>2022</v>
      </c>
      <c r="B3" t="s">
        <v>8</v>
      </c>
      <c r="C3" t="s">
        <v>13</v>
      </c>
      <c r="D3" t="s">
        <v>19</v>
      </c>
      <c r="E3" t="s">
        <v>22</v>
      </c>
      <c r="F3" t="s">
        <v>25</v>
      </c>
      <c r="G3">
        <v>4800</v>
      </c>
    </row>
    <row r="4" spans="1:7" x14ac:dyDescent="0.3">
      <c r="A4">
        <v>2022</v>
      </c>
      <c r="B4" t="s">
        <v>9</v>
      </c>
      <c r="C4" t="s">
        <v>14</v>
      </c>
      <c r="D4" t="s">
        <v>19</v>
      </c>
      <c r="E4" t="s">
        <v>22</v>
      </c>
      <c r="F4" t="s">
        <v>26</v>
      </c>
      <c r="G4">
        <v>2345</v>
      </c>
    </row>
    <row r="5" spans="1:7" x14ac:dyDescent="0.3">
      <c r="A5">
        <v>2022</v>
      </c>
      <c r="B5" t="s">
        <v>10</v>
      </c>
      <c r="C5" t="s">
        <v>16</v>
      </c>
      <c r="D5" t="s">
        <v>20</v>
      </c>
      <c r="E5" t="s">
        <v>21</v>
      </c>
      <c r="F5" t="s">
        <v>27</v>
      </c>
      <c r="G5">
        <v>12345</v>
      </c>
    </row>
    <row r="6" spans="1:7" x14ac:dyDescent="0.3">
      <c r="A6">
        <v>2022</v>
      </c>
      <c r="B6" t="s">
        <v>11</v>
      </c>
      <c r="C6" t="s">
        <v>17</v>
      </c>
      <c r="D6" t="s">
        <v>20</v>
      </c>
      <c r="E6" t="s">
        <v>23</v>
      </c>
      <c r="F6" t="s">
        <v>28</v>
      </c>
      <c r="G6">
        <v>5600</v>
      </c>
    </row>
    <row r="7" spans="1:7" x14ac:dyDescent="0.3">
      <c r="A7">
        <v>2022</v>
      </c>
      <c r="B7" t="s">
        <v>12</v>
      </c>
      <c r="C7" t="s">
        <v>18</v>
      </c>
      <c r="D7" t="s">
        <v>20</v>
      </c>
      <c r="E7" t="s">
        <v>23</v>
      </c>
      <c r="F7" t="s">
        <v>29</v>
      </c>
      <c r="G7">
        <v>3760</v>
      </c>
    </row>
    <row r="8" spans="1:7" x14ac:dyDescent="0.3">
      <c r="A8">
        <v>2022</v>
      </c>
      <c r="B8" t="s">
        <v>7</v>
      </c>
      <c r="C8" t="s">
        <v>15</v>
      </c>
      <c r="D8" t="s">
        <v>19</v>
      </c>
      <c r="E8" t="s">
        <v>21</v>
      </c>
      <c r="F8" t="s">
        <v>24</v>
      </c>
      <c r="G8">
        <f>G2+120</f>
        <v>3687</v>
      </c>
    </row>
    <row r="9" spans="1:7" x14ac:dyDescent="0.3">
      <c r="A9">
        <v>2022</v>
      </c>
      <c r="B9" t="s">
        <v>8</v>
      </c>
      <c r="C9" t="s">
        <v>13</v>
      </c>
      <c r="D9" t="s">
        <v>19</v>
      </c>
      <c r="E9" t="s">
        <v>22</v>
      </c>
      <c r="F9" t="s">
        <v>25</v>
      </c>
      <c r="G9">
        <f>G3+120</f>
        <v>4920</v>
      </c>
    </row>
    <row r="10" spans="1:7" x14ac:dyDescent="0.3">
      <c r="A10">
        <v>2022</v>
      </c>
      <c r="B10" t="s">
        <v>9</v>
      </c>
      <c r="C10" t="s">
        <v>14</v>
      </c>
      <c r="D10" t="s">
        <v>19</v>
      </c>
      <c r="E10" t="s">
        <v>22</v>
      </c>
      <c r="F10" t="s">
        <v>26</v>
      </c>
      <c r="G10">
        <f>G4+120</f>
        <v>2465</v>
      </c>
    </row>
    <row r="11" spans="1:7" x14ac:dyDescent="0.3">
      <c r="A11">
        <v>2022</v>
      </c>
      <c r="B11" t="s">
        <v>10</v>
      </c>
      <c r="C11" t="s">
        <v>16</v>
      </c>
      <c r="D11" t="s">
        <v>20</v>
      </c>
      <c r="E11" t="s">
        <v>21</v>
      </c>
      <c r="F11" t="s">
        <v>27</v>
      </c>
      <c r="G11">
        <v>8560</v>
      </c>
    </row>
    <row r="12" spans="1:7" x14ac:dyDescent="0.3">
      <c r="A12">
        <v>2022</v>
      </c>
      <c r="B12" t="s">
        <v>11</v>
      </c>
      <c r="C12" t="s">
        <v>17</v>
      </c>
      <c r="D12" t="s">
        <v>20</v>
      </c>
      <c r="E12" t="s">
        <v>23</v>
      </c>
      <c r="F12" t="s">
        <v>28</v>
      </c>
      <c r="G12">
        <f>G6+120</f>
        <v>5720</v>
      </c>
    </row>
    <row r="13" spans="1:7" x14ac:dyDescent="0.3">
      <c r="A13">
        <v>2022</v>
      </c>
      <c r="B13" t="s">
        <v>12</v>
      </c>
      <c r="C13" t="s">
        <v>18</v>
      </c>
      <c r="D13" t="s">
        <v>20</v>
      </c>
      <c r="E13" t="s">
        <v>23</v>
      </c>
      <c r="F13" t="s">
        <v>29</v>
      </c>
      <c r="G13">
        <f>G7+120</f>
        <v>3880</v>
      </c>
    </row>
    <row r="14" spans="1:7" x14ac:dyDescent="0.3">
      <c r="A14">
        <v>2022</v>
      </c>
      <c r="B14" t="s">
        <v>7</v>
      </c>
      <c r="C14" t="s">
        <v>15</v>
      </c>
      <c r="D14" t="s">
        <v>19</v>
      </c>
      <c r="E14" t="s">
        <v>21</v>
      </c>
      <c r="F14" t="s">
        <v>24</v>
      </c>
      <c r="G14">
        <f>G8+120</f>
        <v>3807</v>
      </c>
    </row>
    <row r="15" spans="1:7" x14ac:dyDescent="0.3">
      <c r="A15">
        <v>2022</v>
      </c>
      <c r="B15" t="s">
        <v>8</v>
      </c>
      <c r="C15" t="s">
        <v>13</v>
      </c>
      <c r="D15" t="s">
        <v>19</v>
      </c>
      <c r="E15" t="s">
        <v>22</v>
      </c>
      <c r="F15" t="s">
        <v>25</v>
      </c>
      <c r="G15">
        <f>G9+120</f>
        <v>5040</v>
      </c>
    </row>
    <row r="16" spans="1:7" x14ac:dyDescent="0.3">
      <c r="A16">
        <v>2023</v>
      </c>
      <c r="B16" t="s">
        <v>9</v>
      </c>
      <c r="C16" t="s">
        <v>14</v>
      </c>
      <c r="D16" t="s">
        <v>19</v>
      </c>
      <c r="E16" t="s">
        <v>22</v>
      </c>
      <c r="F16" t="s">
        <v>26</v>
      </c>
      <c r="G16">
        <f>G10+120</f>
        <v>2585</v>
      </c>
    </row>
    <row r="17" spans="1:7" x14ac:dyDescent="0.3">
      <c r="A17">
        <v>2023</v>
      </c>
      <c r="B17" t="s">
        <v>10</v>
      </c>
      <c r="C17" t="s">
        <v>16</v>
      </c>
      <c r="D17" t="s">
        <v>20</v>
      </c>
      <c r="E17" t="s">
        <v>21</v>
      </c>
      <c r="F17" t="s">
        <v>27</v>
      </c>
      <c r="G17">
        <v>7450</v>
      </c>
    </row>
    <row r="18" spans="1:7" x14ac:dyDescent="0.3">
      <c r="A18">
        <v>2023</v>
      </c>
      <c r="B18" t="s">
        <v>11</v>
      </c>
      <c r="C18" t="s">
        <v>17</v>
      </c>
      <c r="D18" t="s">
        <v>20</v>
      </c>
      <c r="E18" t="s">
        <v>23</v>
      </c>
      <c r="F18" t="s">
        <v>28</v>
      </c>
      <c r="G18">
        <f t="shared" ref="G18:G31" si="0">G12+120</f>
        <v>5840</v>
      </c>
    </row>
    <row r="19" spans="1:7" x14ac:dyDescent="0.3">
      <c r="A19">
        <v>2023</v>
      </c>
      <c r="B19" t="s">
        <v>12</v>
      </c>
      <c r="C19" t="s">
        <v>18</v>
      </c>
      <c r="D19" t="s">
        <v>20</v>
      </c>
      <c r="E19" t="s">
        <v>23</v>
      </c>
      <c r="F19" t="s">
        <v>29</v>
      </c>
      <c r="G19">
        <f t="shared" si="0"/>
        <v>4000</v>
      </c>
    </row>
    <row r="20" spans="1:7" x14ac:dyDescent="0.3">
      <c r="A20">
        <v>2023</v>
      </c>
      <c r="B20" t="s">
        <v>7</v>
      </c>
      <c r="C20" t="s">
        <v>15</v>
      </c>
      <c r="D20" t="s">
        <v>19</v>
      </c>
      <c r="E20" t="s">
        <v>21</v>
      </c>
      <c r="F20" t="s">
        <v>24</v>
      </c>
      <c r="G20">
        <f t="shared" si="0"/>
        <v>3927</v>
      </c>
    </row>
    <row r="21" spans="1:7" x14ac:dyDescent="0.3">
      <c r="A21">
        <v>2023</v>
      </c>
      <c r="B21" t="s">
        <v>8</v>
      </c>
      <c r="C21" t="s">
        <v>13</v>
      </c>
      <c r="D21" t="s">
        <v>19</v>
      </c>
      <c r="E21" t="s">
        <v>22</v>
      </c>
      <c r="F21" t="s">
        <v>25</v>
      </c>
      <c r="G21">
        <f t="shared" si="0"/>
        <v>5160</v>
      </c>
    </row>
    <row r="22" spans="1:7" x14ac:dyDescent="0.3">
      <c r="A22">
        <v>2023</v>
      </c>
      <c r="B22" t="s">
        <v>9</v>
      </c>
      <c r="C22" t="s">
        <v>14</v>
      </c>
      <c r="D22" t="s">
        <v>19</v>
      </c>
      <c r="E22" t="s">
        <v>22</v>
      </c>
      <c r="F22" t="s">
        <v>26</v>
      </c>
      <c r="G22">
        <f t="shared" si="0"/>
        <v>2705</v>
      </c>
    </row>
    <row r="23" spans="1:7" x14ac:dyDescent="0.3">
      <c r="A23">
        <v>2023</v>
      </c>
      <c r="B23" t="s">
        <v>10</v>
      </c>
      <c r="C23" t="s">
        <v>16</v>
      </c>
      <c r="D23" t="s">
        <v>20</v>
      </c>
      <c r="E23" t="s">
        <v>21</v>
      </c>
      <c r="F23" t="s">
        <v>27</v>
      </c>
      <c r="G23">
        <f t="shared" si="0"/>
        <v>7570</v>
      </c>
    </row>
    <row r="24" spans="1:7" x14ac:dyDescent="0.3">
      <c r="A24">
        <v>2023</v>
      </c>
      <c r="B24" t="s">
        <v>11</v>
      </c>
      <c r="C24" t="s">
        <v>17</v>
      </c>
      <c r="D24" t="s">
        <v>20</v>
      </c>
      <c r="E24" t="s">
        <v>23</v>
      </c>
      <c r="F24" t="s">
        <v>28</v>
      </c>
      <c r="G24">
        <f t="shared" si="0"/>
        <v>5960</v>
      </c>
    </row>
    <row r="25" spans="1:7" x14ac:dyDescent="0.3">
      <c r="A25">
        <v>2023</v>
      </c>
      <c r="B25" t="s">
        <v>12</v>
      </c>
      <c r="C25" t="s">
        <v>18</v>
      </c>
      <c r="D25" t="s">
        <v>20</v>
      </c>
      <c r="E25" t="s">
        <v>23</v>
      </c>
      <c r="F25" t="s">
        <v>29</v>
      </c>
      <c r="G25">
        <f t="shared" si="0"/>
        <v>4120</v>
      </c>
    </row>
    <row r="26" spans="1:7" x14ac:dyDescent="0.3">
      <c r="A26">
        <v>2023</v>
      </c>
      <c r="B26" t="s">
        <v>7</v>
      </c>
      <c r="C26" t="s">
        <v>15</v>
      </c>
      <c r="D26" t="s">
        <v>19</v>
      </c>
      <c r="E26" t="s">
        <v>21</v>
      </c>
      <c r="F26" t="s">
        <v>24</v>
      </c>
      <c r="G26">
        <f t="shared" si="0"/>
        <v>4047</v>
      </c>
    </row>
    <row r="27" spans="1:7" x14ac:dyDescent="0.3">
      <c r="A27">
        <v>2023</v>
      </c>
      <c r="B27" t="s">
        <v>8</v>
      </c>
      <c r="C27" t="s">
        <v>13</v>
      </c>
      <c r="D27" t="s">
        <v>19</v>
      </c>
      <c r="E27" t="s">
        <v>22</v>
      </c>
      <c r="F27" t="s">
        <v>25</v>
      </c>
      <c r="G27">
        <f t="shared" si="0"/>
        <v>5280</v>
      </c>
    </row>
    <row r="28" spans="1:7" x14ac:dyDescent="0.3">
      <c r="A28">
        <v>2023</v>
      </c>
      <c r="B28" t="s">
        <v>9</v>
      </c>
      <c r="C28" t="s">
        <v>14</v>
      </c>
      <c r="D28" t="s">
        <v>19</v>
      </c>
      <c r="E28" t="s">
        <v>22</v>
      </c>
      <c r="F28" t="s">
        <v>26</v>
      </c>
      <c r="G28">
        <f t="shared" si="0"/>
        <v>2825</v>
      </c>
    </row>
    <row r="29" spans="1:7" x14ac:dyDescent="0.3">
      <c r="A29">
        <v>2023</v>
      </c>
      <c r="B29" t="s">
        <v>10</v>
      </c>
      <c r="C29" t="s">
        <v>16</v>
      </c>
      <c r="D29" t="s">
        <v>20</v>
      </c>
      <c r="E29" t="s">
        <v>21</v>
      </c>
      <c r="F29" t="s">
        <v>27</v>
      </c>
      <c r="G29">
        <f t="shared" si="0"/>
        <v>7690</v>
      </c>
    </row>
    <row r="30" spans="1:7" x14ac:dyDescent="0.3">
      <c r="A30">
        <v>2023</v>
      </c>
      <c r="B30" t="s">
        <v>11</v>
      </c>
      <c r="C30" t="s">
        <v>17</v>
      </c>
      <c r="D30" t="s">
        <v>20</v>
      </c>
      <c r="E30" t="s">
        <v>23</v>
      </c>
      <c r="F30" t="s">
        <v>28</v>
      </c>
      <c r="G30">
        <f t="shared" si="0"/>
        <v>6080</v>
      </c>
    </row>
    <row r="31" spans="1:7" x14ac:dyDescent="0.3">
      <c r="A31">
        <v>2023</v>
      </c>
      <c r="B31" t="s">
        <v>12</v>
      </c>
      <c r="C31" t="s">
        <v>18</v>
      </c>
      <c r="D31" t="s">
        <v>20</v>
      </c>
      <c r="E31" t="s">
        <v>23</v>
      </c>
      <c r="F31" t="s">
        <v>29</v>
      </c>
      <c r="G31">
        <f t="shared" si="0"/>
        <v>4240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4372-F51C-43D3-9B27-5ECBDF134FE7}">
  <dimension ref="A3:B34"/>
  <sheetViews>
    <sheetView topLeftCell="A7" zoomScale="94" zoomScaleNormal="94" workbookViewId="0">
      <selection activeCell="E35" sqref="E35"/>
    </sheetView>
  </sheetViews>
  <sheetFormatPr defaultRowHeight="14.4" x14ac:dyDescent="0.3"/>
  <cols>
    <col min="1" max="1" width="17.33203125" bestFit="1" customWidth="1"/>
    <col min="2" max="2" width="22.21875" bestFit="1" customWidth="1"/>
    <col min="3" max="3" width="13.44140625" bestFit="1" customWidth="1"/>
    <col min="4" max="4" width="2.77734375" bestFit="1" customWidth="1"/>
    <col min="5" max="5" width="17.33203125" bestFit="1" customWidth="1"/>
    <col min="6" max="6" width="22.21875" bestFit="1" customWidth="1"/>
    <col min="7" max="7" width="3.21875" bestFit="1" customWidth="1"/>
    <col min="8" max="8" width="17.33203125" bestFit="1" customWidth="1"/>
    <col min="9" max="9" width="22.21875" bestFit="1" customWidth="1"/>
    <col min="10" max="13" width="6.6640625" bestFit="1" customWidth="1"/>
    <col min="14" max="14" width="9.44140625" bestFit="1" customWidth="1"/>
    <col min="15" max="15" width="10" bestFit="1" customWidth="1"/>
  </cols>
  <sheetData>
    <row r="3" spans="1:2" x14ac:dyDescent="0.3">
      <c r="A3" t="s">
        <v>30</v>
      </c>
      <c r="B3" t="s">
        <v>32</v>
      </c>
    </row>
    <row r="4" spans="1:2" x14ac:dyDescent="0.3">
      <c r="A4" t="s">
        <v>16</v>
      </c>
      <c r="B4" s="2">
        <v>43615</v>
      </c>
    </row>
    <row r="5" spans="1:2" x14ac:dyDescent="0.3">
      <c r="A5" t="s">
        <v>17</v>
      </c>
      <c r="B5" s="2">
        <v>29200</v>
      </c>
    </row>
    <row r="6" spans="1:2" x14ac:dyDescent="0.3">
      <c r="A6" t="s">
        <v>13</v>
      </c>
      <c r="B6" s="2">
        <v>25200</v>
      </c>
    </row>
    <row r="7" spans="1:2" x14ac:dyDescent="0.3">
      <c r="A7" t="s">
        <v>18</v>
      </c>
      <c r="B7" s="2">
        <v>20000</v>
      </c>
    </row>
    <row r="8" spans="1:2" x14ac:dyDescent="0.3">
      <c r="A8" t="s">
        <v>15</v>
      </c>
      <c r="B8" s="2">
        <v>19035</v>
      </c>
    </row>
    <row r="9" spans="1:2" x14ac:dyDescent="0.3">
      <c r="A9" t="s">
        <v>14</v>
      </c>
      <c r="B9" s="2">
        <v>12925</v>
      </c>
    </row>
    <row r="10" spans="1:2" x14ac:dyDescent="0.3">
      <c r="A10" t="s">
        <v>31</v>
      </c>
      <c r="B10" s="2">
        <v>149975</v>
      </c>
    </row>
    <row r="15" spans="1:2" x14ac:dyDescent="0.3">
      <c r="A15" t="s">
        <v>33</v>
      </c>
    </row>
    <row r="16" spans="1:2" x14ac:dyDescent="0.3">
      <c r="A16" t="s">
        <v>30</v>
      </c>
      <c r="B16" t="s">
        <v>32</v>
      </c>
    </row>
    <row r="17" spans="1:2" x14ac:dyDescent="0.3">
      <c r="A17" t="s">
        <v>27</v>
      </c>
      <c r="B17" s="1">
        <v>43615</v>
      </c>
    </row>
    <row r="18" spans="1:2" x14ac:dyDescent="0.3">
      <c r="A18" t="s">
        <v>28</v>
      </c>
      <c r="B18" s="1">
        <v>29200</v>
      </c>
    </row>
    <row r="19" spans="1:2" x14ac:dyDescent="0.3">
      <c r="A19" t="s">
        <v>25</v>
      </c>
      <c r="B19" s="1">
        <v>25200</v>
      </c>
    </row>
    <row r="20" spans="1:2" x14ac:dyDescent="0.3">
      <c r="A20" t="s">
        <v>29</v>
      </c>
      <c r="B20" s="1">
        <v>20000</v>
      </c>
    </row>
    <row r="21" spans="1:2" x14ac:dyDescent="0.3">
      <c r="A21" t="s">
        <v>24</v>
      </c>
      <c r="B21" s="1">
        <v>19035</v>
      </c>
    </row>
    <row r="22" spans="1:2" x14ac:dyDescent="0.3">
      <c r="A22" t="s">
        <v>26</v>
      </c>
      <c r="B22" s="1">
        <v>12925</v>
      </c>
    </row>
    <row r="23" spans="1:2" x14ac:dyDescent="0.3">
      <c r="A23" t="s">
        <v>31</v>
      </c>
      <c r="B23" s="1">
        <v>149975</v>
      </c>
    </row>
    <row r="25" spans="1:2" x14ac:dyDescent="0.3">
      <c r="A25" t="s">
        <v>30</v>
      </c>
      <c r="B25" t="s">
        <v>32</v>
      </c>
    </row>
    <row r="26" spans="1:2" x14ac:dyDescent="0.3">
      <c r="A26" t="s">
        <v>20</v>
      </c>
      <c r="B26" s="1">
        <v>92815</v>
      </c>
    </row>
    <row r="27" spans="1:2" x14ac:dyDescent="0.3">
      <c r="A27" t="s">
        <v>10</v>
      </c>
      <c r="B27" s="1">
        <v>43615</v>
      </c>
    </row>
    <row r="28" spans="1:2" x14ac:dyDescent="0.3">
      <c r="A28" t="s">
        <v>11</v>
      </c>
      <c r="B28" s="1">
        <v>29200</v>
      </c>
    </row>
    <row r="29" spans="1:2" x14ac:dyDescent="0.3">
      <c r="A29" t="s">
        <v>12</v>
      </c>
      <c r="B29" s="1">
        <v>20000</v>
      </c>
    </row>
    <row r="30" spans="1:2" x14ac:dyDescent="0.3">
      <c r="A30" t="s">
        <v>19</v>
      </c>
      <c r="B30" s="1">
        <v>57160</v>
      </c>
    </row>
    <row r="31" spans="1:2" x14ac:dyDescent="0.3">
      <c r="A31" t="s">
        <v>8</v>
      </c>
      <c r="B31" s="1">
        <v>25200</v>
      </c>
    </row>
    <row r="32" spans="1:2" x14ac:dyDescent="0.3">
      <c r="A32" t="s">
        <v>7</v>
      </c>
      <c r="B32" s="1">
        <v>19035</v>
      </c>
    </row>
    <row r="33" spans="1:2" x14ac:dyDescent="0.3">
      <c r="A33" t="s">
        <v>9</v>
      </c>
      <c r="B33" s="1">
        <v>12925</v>
      </c>
    </row>
    <row r="34" spans="1:2" x14ac:dyDescent="0.3">
      <c r="A34" t="s">
        <v>31</v>
      </c>
      <c r="B34" s="1">
        <v>149975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83DF-1D57-48E6-B781-6BD45A6673F5}">
  <dimension ref="A1"/>
  <sheetViews>
    <sheetView workbookViewId="0">
      <selection activeCell="P9" sqref="P9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1706-449F-4F47-BB6B-B4449606390C}">
  <dimension ref="A1:E4"/>
  <sheetViews>
    <sheetView workbookViewId="0">
      <selection activeCell="B3" sqref="B3"/>
    </sheetView>
  </sheetViews>
  <sheetFormatPr defaultRowHeight="14.4" x14ac:dyDescent="0.3"/>
  <cols>
    <col min="1" max="1" width="20.88671875" customWidth="1"/>
    <col min="4" max="4" width="9.44140625" bestFit="1" customWidth="1"/>
  </cols>
  <sheetData>
    <row r="1" spans="1:5" x14ac:dyDescent="0.3">
      <c r="A1" t="s">
        <v>34</v>
      </c>
      <c r="B1" t="s">
        <v>39</v>
      </c>
    </row>
    <row r="2" spans="1:5" x14ac:dyDescent="0.3">
      <c r="A2" t="s">
        <v>35</v>
      </c>
      <c r="B2" t="s">
        <v>36</v>
      </c>
    </row>
    <row r="4" spans="1:5" x14ac:dyDescent="0.3">
      <c r="A4" t="s">
        <v>37</v>
      </c>
      <c r="B4" t="s">
        <v>38</v>
      </c>
      <c r="C4" t="s">
        <v>2</v>
      </c>
      <c r="D4" t="s">
        <v>3</v>
      </c>
      <c r="E4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C4CE-26CE-416B-8EE9-74CAD6ABBD91}">
  <dimension ref="A2:Z3"/>
  <sheetViews>
    <sheetView showGridLines="0" showRowColHeaders="0" tabSelected="1" zoomScale="79" zoomScaleNormal="79" workbookViewId="0">
      <selection activeCell="AB12" sqref="AB12"/>
    </sheetView>
  </sheetViews>
  <sheetFormatPr defaultRowHeight="14.4" x14ac:dyDescent="0.3"/>
  <sheetData>
    <row r="2" spans="1:26" ht="14.4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</sheetData>
  <mergeCells count="1">
    <mergeCell ref="A2:Z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de Dados</vt:lpstr>
      <vt:lpstr>Tabelas</vt:lpstr>
      <vt:lpstr>Layout</vt:lpstr>
      <vt:lpstr>Estrutura</vt:lpstr>
      <vt:lpstr>DashBoard - Módulo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Rubio</dc:creator>
  <cp:lastModifiedBy>Priscilla</cp:lastModifiedBy>
  <dcterms:created xsi:type="dcterms:W3CDTF">2024-01-05T19:13:17Z</dcterms:created>
  <dcterms:modified xsi:type="dcterms:W3CDTF">2025-12-14T22:54:24Z</dcterms:modified>
</cp:coreProperties>
</file>